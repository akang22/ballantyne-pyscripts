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_rels/workbook.xml.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6"/>
  </bookViews>
  <sheets>
    <sheet name="HUB" sheetId="1" state="visible" r:id="rId3"/>
    <sheet name="Page3 Summary" sheetId="2" state="visible" r:id="rId4"/>
    <sheet name="Growth" sheetId="3" state="visible" r:id="rId5"/>
    <sheet name="Dividend" sheetId="4" state="visible" r:id="rId6"/>
    <sheet name="Core" sheetId="5" state="visible" r:id="rId7"/>
    <sheet name="Sheet7" sheetId="6" state="visible" r:id="rId8"/>
    <sheet name="Sheet6" sheetId="7" state="visible" r:id="rId9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<sst xmlns="http://schemas.openxmlformats.org/spreadsheetml/2006/main" count="121" uniqueCount="47">
  <si>
    <t xml:space="preserve">STANDARD</t>
  </si>
  <si>
    <t xml:space="preserve">Y</t>
  </si>
  <si>
    <t xml:space="preserve">M</t>
  </si>
  <si>
    <t xml:space="preserve">D</t>
  </si>
  <si>
    <t xml:space="preserve">ANNUAL</t>
  </si>
  <si>
    <t xml:space="preserve">Q-D</t>
  </si>
  <si>
    <t xml:space="preserve">Y-D</t>
  </si>
  <si>
    <t xml:space="preserve">XIRR-1</t>
  </si>
  <si>
    <t xml:space="preserve">XIRR-3</t>
  </si>
  <si>
    <t xml:space="preserve">XIRR-5</t>
  </si>
  <si>
    <t xml:space="preserve">XIRR-10</t>
  </si>
  <si>
    <t xml:space="preserve">XIRR-INC</t>
  </si>
  <si>
    <t xml:space="preserve">CTL Shift V</t>
  </si>
  <si>
    <t xml:space="preserve">Run Macro2</t>
  </si>
  <si>
    <t xml:space="preserve">Period</t>
  </si>
  <si>
    <t xml:space="preserve">PortCode</t>
  </si>
  <si>
    <t xml:space="preserve">3Months</t>
  </si>
  <si>
    <t xml:space="preserve">YTD</t>
  </si>
  <si>
    <t xml:space="preserve">1Year</t>
  </si>
  <si>
    <t xml:space="preserve">3Year</t>
  </si>
  <si>
    <t xml:space="preserve">5Year</t>
  </si>
  <si>
    <t xml:space="preserve">INCEPT</t>
  </si>
  <si>
    <t xml:space="preserve">PeriodEndDate</t>
  </si>
  <si>
    <t xml:space="preserve">YRS</t>
  </si>
  <si>
    <t xml:space="preserve">Growth Model</t>
  </si>
  <si>
    <t xml:space="preserve">Growth</t>
  </si>
  <si>
    <t xml:space="preserve">CURR</t>
  </si>
  <si>
    <t xml:space="preserve">Type in =DATE(2019,1,01)</t>
  </si>
  <si>
    <t xml:space="preserve">Start</t>
  </si>
  <si>
    <t xml:space="preserve">End</t>
  </si>
  <si>
    <t xml:space="preserve">RETURNS</t>
  </si>
  <si>
    <t xml:space="preserve">Result</t>
  </si>
  <si>
    <t xml:space="preserve">Dividend Model</t>
  </si>
  <si>
    <t xml:space="preserve">Dividend</t>
  </si>
  <si>
    <t xml:space="preserve">Core Plus Model</t>
  </si>
  <si>
    <t xml:space="preserve">Core Plus</t>
  </si>
  <si>
    <t xml:space="preserve">;</t>
  </si>
  <si>
    <t xml:space="preserve">Allan</t>
  </si>
  <si>
    <t xml:space="preserve">model</t>
  </si>
  <si>
    <t xml:space="preserve">test_token</t>
  </si>
  <si>
    <t xml:space="preserve">name:</t>
  </si>
  <si>
    <t xml:space="preserve">CORE</t>
  </si>
  <si>
    <t xml:space="preserve">DIVIDEND</t>
  </si>
  <si>
    <t xml:space="preserve">GROWTH</t>
  </si>
  <si>
    <t xml:space="preserve">test_mv</t>
  </si>
  <si>
    <t xml:space="preserve">amounts:</t>
  </si>
  <si>
    <t xml:space="preserve">end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</si>
</sst>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yy"/>
    <numFmt numFmtId="166" formatCode="0.00%"/>
    <numFmt numFmtId="167" formatCode="0.00"/>
    <numFmt numFmtId="168" formatCode="\$#,##0.00"/>
  </numFmts>
  <fonts count="11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Open Sans Light"/>
      <family val="2"/>
      <charset val="1"/>
    </font>
    <font>
      <b val="true"/>
      <sz val="11"/>
      <color rgb="FF000000"/>
      <name val="Open Sans Light"/>
      <family val="2"/>
      <charset val="1"/>
    </font>
    <font>
      <sz val="11"/>
      <color rgb="FFFF0000"/>
      <name val="Calibri"/>
      <family val="2"/>
      <charset val="1"/>
    </font>
    <font>
      <sz val="10"/>
      <color rgb="FF000000"/>
      <name val="Open Sans Light"/>
      <family val="2"/>
      <charset val="1"/>
    </font>
    <font>
      <sz val="11"/>
      <color rgb="FF000000"/>
      <name val="Inconsolata"/>
      <family val="0"/>
      <charset val="1"/>
    </font>
    <font>
      <b val="true"/>
      <sz val="10"/>
      <color rgb="FF000000"/>
      <name val="Open Sans Light"/>
      <family val="2"/>
      <charset val="1"/>
    </font>
    <font>
      <b val="true"/>
      <sz val="11"/>
      <color rgb="FF000000"/>
      <name val="Open Sans Light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DAE3F3"/>
        <bgColor rgb="FFCCFFFF"/>
      </patternFill>
    </fill>
    <fill>
      <patternFill patternType="solid">
        <fgColor rgb="FFFFF2CC"/>
        <bgColor rgb="FFFFFFFF"/>
      </patternFill>
    </fill>
  </fills>
  <borders count="3">
    <border diagonalUp="false" diagonalDown="false">
      <left/>
      <right/>
      <top/>
      <bottom/>
      <diagonal/>
    </border>
    <border diagonalUp="false" diagonalDown="false">
      <left/>
      <right/>
      <top style="thin">
        <color rgb="FF8FAADC"/>
      </top>
      <bottom style="thin">
        <color rgb="FF8FAADC"/>
      </bottom>
      <diagonal/>
    </border>
    <border diagonalUp="false" diagonalDown="false">
      <left style="thin">
        <color rgb="FF8FAADC"/>
      </left>
      <right/>
      <top style="thin">
        <color rgb="FF8FAADC"/>
      </top>
      <bottom style="thin">
        <color rgb="FF8FAADC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0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6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6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  <xf numFmtId="168" fontId="4" fillId="0" borderId="0" xfId="0" applyFont="true" applyBorder="false" applyAlignment="true" applyProtection="true">
      <alignment horizontal="general" vertical="top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8FAADC"/>
      <rgbColor rgb="FF993366"/>
      <rgbColor rgb="FFFFF2CC"/>
      <rgbColor rgb="FFCCFFFF"/>
      <rgbColor rgb="FF660066"/>
      <rgbColor rgb="FFFF8080"/>
      <rgbColor rgb="FF0066CC"/>
      <rgbColor rgb="FFDAE3F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I41"/>
  <sheetViews>
    <sheetView showFormulas="false" showGridLines="true" showRowColHeaders="true" showZeros="true" rightToLeft="false" tabSelected="false" showOutlineSymbols="true" defaultGridColor="true" view="normal" topLeftCell="A1" colorId="64" zoomScale="110" zoomScaleNormal="110" zoomScalePageLayoutView="100" workbookViewId="0">
      <selection pane="topLeft" activeCell="B10" activeCellId="0" sqref="B10"/>
    </sheetView>
  </sheetViews>
  <sheetFormatPr defaultColWidth="9.18359375" defaultRowHeight="14.25" zeroHeight="false" outlineLevelRow="0" outlineLevelCol="0"/>
  <cols>
    <col collapsed="false" customWidth="true" hidden="false" outlineLevel="0" max="1" min="1" style="0" width="28"/>
    <col collapsed="false" customWidth="true" hidden="false" outlineLevel="0" max="2" min="2" style="0" width="16.73"/>
    <col collapsed="false" customWidth="true" hidden="false" outlineLevel="0" max="3" min="3" style="0" width="18.73"/>
    <col collapsed="false" customWidth="true" hidden="false" outlineLevel="0" max="5" min="5" style="0" width="14.73"/>
    <col collapsed="false" customWidth="true" hidden="false" outlineLevel="0" max="6" min="6" style="0" width="23.54"/>
    <col collapsed="false" customWidth="true" hidden="false" outlineLevel="0" max="8" min="8" style="0" width="16.54"/>
    <col collapsed="false" customWidth="true" hidden="false" outlineLevel="0" max="9" min="9" style="0" width="14.73"/>
  </cols>
  <sheetData>
    <row r="3" customFormat="false" ht="16.5" hidden="false" customHeight="false" outlineLevel="0" collapsed="false">
      <c r="A3" s="1" t="s">
        <v>0</v>
      </c>
      <c r="B3" s="2" t="s">
        <v>1</v>
      </c>
      <c r="C3" s="2" t="s">
        <v>2</v>
      </c>
      <c r="D3" s="2" t="s">
        <v>3</v>
      </c>
      <c r="F3" s="1" t="s">
        <v>4</v>
      </c>
      <c r="G3" s="2" t="s">
        <v>1</v>
      </c>
      <c r="H3" s="2" t="s">
        <v>2</v>
      </c>
      <c r="I3" s="2" t="s">
        <v>3</v>
      </c>
    </row>
    <row r="4" customFormat="false" ht="16.5" hidden="false" customHeight="false" outlineLevel="0" collapsed="false">
      <c r="A4" s="2" t="s">
        <v>5</v>
      </c>
      <c r="B4" s="1" t="n">
        <v>2024</v>
      </c>
      <c r="C4" s="1" t="n">
        <v>1</v>
      </c>
      <c r="D4" s="1" t="n">
        <v>1</v>
      </c>
      <c r="F4" s="2"/>
      <c r="G4" s="1" t="n">
        <v>2019</v>
      </c>
      <c r="H4" s="1" t="n">
        <v>1</v>
      </c>
      <c r="I4" s="1" t="n">
        <v>1</v>
      </c>
    </row>
    <row r="5" customFormat="false" ht="16.5" hidden="false" customHeight="false" outlineLevel="0" collapsed="false">
      <c r="A5" s="2"/>
      <c r="B5" s="1" t="n">
        <v>2024</v>
      </c>
      <c r="C5" s="1" t="n">
        <v>3</v>
      </c>
      <c r="D5" s="1" t="n">
        <v>31</v>
      </c>
      <c r="F5" s="2"/>
      <c r="G5" s="1" t="n">
        <v>2019</v>
      </c>
      <c r="H5" s="1" t="n">
        <v>12</v>
      </c>
      <c r="I5" s="1" t="n">
        <v>31</v>
      </c>
    </row>
    <row r="6" customFormat="false" ht="16.5" hidden="false" customHeight="false" outlineLevel="0" collapsed="false">
      <c r="A6" s="2"/>
      <c r="B6" s="1"/>
      <c r="C6" s="1"/>
      <c r="D6" s="1"/>
      <c r="F6" s="2"/>
      <c r="G6" s="1"/>
    </row>
    <row r="7" customFormat="false" ht="16.5" hidden="false" customHeight="false" outlineLevel="0" collapsed="false">
      <c r="A7" s="2" t="s">
        <v>6</v>
      </c>
      <c r="B7" s="1" t="n">
        <v>2024</v>
      </c>
      <c r="C7" s="1" t="n">
        <v>1</v>
      </c>
      <c r="D7" s="1" t="n">
        <v>1</v>
      </c>
      <c r="F7" s="2"/>
      <c r="G7" s="1" t="n">
        <v>2020</v>
      </c>
      <c r="H7" s="1" t="n">
        <v>1</v>
      </c>
      <c r="I7" s="1" t="n">
        <v>1</v>
      </c>
    </row>
    <row r="8" customFormat="false" ht="16.5" hidden="false" customHeight="false" outlineLevel="0" collapsed="false">
      <c r="A8" s="2"/>
      <c r="B8" s="1" t="n">
        <v>2024</v>
      </c>
      <c r="C8" s="1" t="n">
        <v>3</v>
      </c>
      <c r="D8" s="1" t="n">
        <v>31</v>
      </c>
      <c r="F8" s="2"/>
      <c r="G8" s="1" t="n">
        <v>2020</v>
      </c>
      <c r="H8" s="1" t="n">
        <v>12</v>
      </c>
      <c r="I8" s="1" t="n">
        <v>31</v>
      </c>
    </row>
    <row r="9" customFormat="false" ht="16.5" hidden="false" customHeight="false" outlineLevel="0" collapsed="false">
      <c r="A9" s="2"/>
      <c r="B9" s="1"/>
      <c r="C9" s="1"/>
      <c r="D9" s="1"/>
      <c r="F9" s="2"/>
      <c r="G9" s="1"/>
    </row>
    <row r="10" customFormat="false" ht="16.5" hidden="false" customHeight="false" outlineLevel="0" collapsed="false">
      <c r="A10" s="2" t="s">
        <v>7</v>
      </c>
      <c r="B10" s="1" t="n">
        <v>2023</v>
      </c>
      <c r="C10" s="1" t="n">
        <v>4</v>
      </c>
      <c r="D10" s="1" t="n">
        <v>1</v>
      </c>
      <c r="F10" s="2"/>
      <c r="G10" s="1" t="n">
        <v>2021</v>
      </c>
      <c r="H10" s="1" t="n">
        <v>1</v>
      </c>
      <c r="I10" s="1" t="n">
        <v>1</v>
      </c>
    </row>
    <row r="11" customFormat="false" ht="16.5" hidden="false" customHeight="false" outlineLevel="0" collapsed="false">
      <c r="A11" s="2"/>
      <c r="B11" s="1" t="n">
        <v>2024</v>
      </c>
      <c r="C11" s="1" t="n">
        <v>3</v>
      </c>
      <c r="D11" s="1" t="n">
        <v>31</v>
      </c>
      <c r="F11" s="2"/>
      <c r="G11" s="1" t="n">
        <v>2021</v>
      </c>
      <c r="H11" s="1" t="n">
        <v>12</v>
      </c>
      <c r="I11" s="1" t="n">
        <v>31</v>
      </c>
    </row>
    <row r="12" customFormat="false" ht="16.5" hidden="false" customHeight="false" outlineLevel="0" collapsed="false">
      <c r="A12" s="2"/>
      <c r="B12" s="1"/>
      <c r="C12" s="1"/>
      <c r="D12" s="1"/>
      <c r="F12" s="2"/>
      <c r="G12" s="1"/>
    </row>
    <row r="13" customFormat="false" ht="16.5" hidden="false" customHeight="false" outlineLevel="0" collapsed="false">
      <c r="A13" s="2" t="s">
        <v>8</v>
      </c>
      <c r="B13" s="1" t="n">
        <v>2021</v>
      </c>
      <c r="C13" s="1" t="n">
        <v>4</v>
      </c>
      <c r="D13" s="1" t="n">
        <v>1</v>
      </c>
      <c r="F13" s="2"/>
      <c r="G13" s="1" t="n">
        <v>2022</v>
      </c>
      <c r="H13" s="1" t="n">
        <v>1</v>
      </c>
      <c r="I13" s="1" t="n">
        <v>1</v>
      </c>
    </row>
    <row r="14" customFormat="false" ht="16.5" hidden="false" customHeight="false" outlineLevel="0" collapsed="false">
      <c r="A14" s="2"/>
      <c r="B14" s="1" t="n">
        <v>2024</v>
      </c>
      <c r="C14" s="1" t="n">
        <v>3</v>
      </c>
      <c r="D14" s="1" t="n">
        <v>31</v>
      </c>
      <c r="F14" s="2"/>
      <c r="G14" s="1" t="n">
        <v>2022</v>
      </c>
      <c r="H14" s="1" t="n">
        <v>12</v>
      </c>
      <c r="I14" s="1" t="n">
        <v>31</v>
      </c>
    </row>
    <row r="15" customFormat="false" ht="16.5" hidden="false" customHeight="false" outlineLevel="0" collapsed="false">
      <c r="A15" s="2"/>
      <c r="B15" s="1"/>
      <c r="C15" s="1"/>
      <c r="D15" s="1"/>
      <c r="F15" s="2"/>
      <c r="G15" s="1"/>
    </row>
    <row r="16" customFormat="false" ht="16.5" hidden="false" customHeight="false" outlineLevel="0" collapsed="false">
      <c r="A16" s="2" t="s">
        <v>9</v>
      </c>
      <c r="B16" s="1" t="n">
        <v>2019</v>
      </c>
      <c r="C16" s="1" t="n">
        <v>4</v>
      </c>
      <c r="D16" s="1" t="n">
        <v>1</v>
      </c>
      <c r="F16" s="2"/>
      <c r="G16" s="1" t="n">
        <v>2023</v>
      </c>
      <c r="H16" s="1" t="n">
        <v>1</v>
      </c>
      <c r="I16" s="1" t="n">
        <v>1</v>
      </c>
    </row>
    <row r="17" customFormat="false" ht="16.5" hidden="false" customHeight="false" outlineLevel="0" collapsed="false">
      <c r="A17" s="2"/>
      <c r="B17" s="1" t="n">
        <v>2024</v>
      </c>
      <c r="C17" s="1" t="n">
        <v>3</v>
      </c>
      <c r="D17" s="1" t="n">
        <v>31</v>
      </c>
      <c r="F17" s="2"/>
      <c r="G17" s="1" t="n">
        <v>2023</v>
      </c>
      <c r="H17" s="1" t="n">
        <v>12</v>
      </c>
      <c r="I17" s="1" t="n">
        <v>31</v>
      </c>
    </row>
    <row r="18" customFormat="false" ht="16.5" hidden="false" customHeight="false" outlineLevel="0" collapsed="false">
      <c r="A18" s="2"/>
      <c r="B18" s="1"/>
      <c r="C18" s="1"/>
      <c r="D18" s="1"/>
      <c r="F18" s="2"/>
      <c r="G18" s="1"/>
    </row>
    <row r="19" customFormat="false" ht="16.5" hidden="false" customHeight="false" outlineLevel="0" collapsed="false">
      <c r="A19" s="2" t="s">
        <v>10</v>
      </c>
      <c r="B19" s="1" t="n">
        <v>2018</v>
      </c>
      <c r="C19" s="1" t="n">
        <v>10</v>
      </c>
      <c r="D19" s="1" t="n">
        <v>1</v>
      </c>
      <c r="F19" s="2"/>
      <c r="G19" s="1" t="n">
        <v>2024</v>
      </c>
      <c r="H19" s="1" t="n">
        <v>1</v>
      </c>
      <c r="I19" s="1" t="n">
        <v>1</v>
      </c>
    </row>
    <row r="20" customFormat="false" ht="16.5" hidden="false" customHeight="false" outlineLevel="0" collapsed="false">
      <c r="A20" s="1"/>
      <c r="B20" s="1" t="n">
        <v>2024</v>
      </c>
      <c r="C20" s="1" t="n">
        <v>3</v>
      </c>
      <c r="D20" s="1" t="n">
        <v>31</v>
      </c>
      <c r="F20" s="1"/>
      <c r="G20" s="1" t="n">
        <v>2024</v>
      </c>
      <c r="H20" s="1" t="n">
        <v>12</v>
      </c>
      <c r="I20" s="1" t="n">
        <v>31</v>
      </c>
    </row>
    <row r="22" customFormat="false" ht="16.5" hidden="false" customHeight="false" outlineLevel="0" collapsed="false">
      <c r="A22" s="2" t="s">
        <v>11</v>
      </c>
      <c r="B22" s="1" t="n">
        <v>2018</v>
      </c>
      <c r="C22" s="1" t="n">
        <v>10</v>
      </c>
      <c r="D22" s="1" t="n">
        <v>1</v>
      </c>
      <c r="F22" s="2"/>
      <c r="G22" s="1" t="n">
        <v>2025</v>
      </c>
      <c r="H22" s="1" t="n">
        <v>1</v>
      </c>
      <c r="I22" s="1" t="n">
        <v>1</v>
      </c>
    </row>
    <row r="23" customFormat="false" ht="16.5" hidden="false" customHeight="false" outlineLevel="0" collapsed="false">
      <c r="B23" s="1" t="n">
        <v>2024</v>
      </c>
      <c r="C23" s="1" t="n">
        <v>3</v>
      </c>
      <c r="D23" s="1" t="n">
        <v>31</v>
      </c>
      <c r="F23" s="1"/>
      <c r="G23" s="1" t="n">
        <v>2025</v>
      </c>
      <c r="H23" s="1" t="n">
        <v>12</v>
      </c>
      <c r="I23" s="1" t="n">
        <v>31</v>
      </c>
    </row>
    <row r="25" customFormat="false" ht="16.5" hidden="false" customHeight="false" outlineLevel="0" collapsed="false">
      <c r="F25" s="2"/>
      <c r="G25" s="1" t="n">
        <v>2026</v>
      </c>
      <c r="H25" s="1" t="n">
        <v>1</v>
      </c>
      <c r="I25" s="1" t="n">
        <v>1</v>
      </c>
    </row>
    <row r="26" customFormat="false" ht="16.5" hidden="false" customHeight="false" outlineLevel="0" collapsed="false">
      <c r="G26" s="1" t="n">
        <v>2026</v>
      </c>
      <c r="H26" s="1" t="n">
        <v>12</v>
      </c>
      <c r="I26" s="1" t="n">
        <v>31</v>
      </c>
    </row>
    <row r="28" customFormat="false" ht="16.5" hidden="false" customHeight="false" outlineLevel="0" collapsed="false">
      <c r="F28" s="2"/>
      <c r="G28" s="1" t="n">
        <v>2027</v>
      </c>
      <c r="H28" s="1" t="n">
        <v>1</v>
      </c>
      <c r="I28" s="1" t="n">
        <v>1</v>
      </c>
    </row>
    <row r="29" customFormat="false" ht="16.5" hidden="false" customHeight="false" outlineLevel="0" collapsed="false">
      <c r="G29" s="1" t="n">
        <v>2027</v>
      </c>
      <c r="H29" s="1" t="n">
        <v>12</v>
      </c>
      <c r="I29" s="1" t="n">
        <v>31</v>
      </c>
    </row>
    <row r="30" customFormat="false" ht="14.25" hidden="false" customHeight="false" outlineLevel="0" collapsed="false">
      <c r="A30" s="3" t="s">
        <v>12</v>
      </c>
    </row>
    <row r="31" customFormat="false" ht="16.5" hidden="false" customHeight="false" outlineLevel="0" collapsed="false">
      <c r="A31" s="4" t="s">
        <v>13</v>
      </c>
      <c r="F31" s="2"/>
      <c r="G31" s="1" t="n">
        <v>2028</v>
      </c>
      <c r="H31" s="1" t="n">
        <v>1</v>
      </c>
      <c r="I31" s="1" t="n">
        <v>1</v>
      </c>
    </row>
    <row r="32" customFormat="false" ht="16.5" hidden="false" customHeight="false" outlineLevel="0" collapsed="false">
      <c r="G32" s="1" t="n">
        <v>2028</v>
      </c>
      <c r="H32" s="1" t="n">
        <v>12</v>
      </c>
      <c r="I32" s="1" t="n">
        <v>31</v>
      </c>
    </row>
    <row r="34" customFormat="false" ht="16.5" hidden="false" customHeight="false" outlineLevel="0" collapsed="false">
      <c r="F34" s="2"/>
      <c r="G34" s="1" t="n">
        <v>2029</v>
      </c>
      <c r="H34" s="1" t="n">
        <v>1</v>
      </c>
      <c r="I34" s="1" t="n">
        <v>1</v>
      </c>
    </row>
    <row r="35" customFormat="false" ht="16.5" hidden="false" customHeight="false" outlineLevel="0" collapsed="false">
      <c r="G35" s="1" t="n">
        <v>2029</v>
      </c>
      <c r="H35" s="1" t="n">
        <v>12</v>
      </c>
      <c r="I35" s="1" t="n">
        <v>31</v>
      </c>
    </row>
    <row r="37" customFormat="false" ht="16.5" hidden="false" customHeight="false" outlineLevel="0" collapsed="false">
      <c r="F37" s="2"/>
      <c r="G37" s="1" t="n">
        <v>2030</v>
      </c>
      <c r="H37" s="1" t="n">
        <v>1</v>
      </c>
      <c r="I37" s="1" t="n">
        <v>1</v>
      </c>
    </row>
    <row r="38" customFormat="false" ht="16.5" hidden="false" customHeight="false" outlineLevel="0" collapsed="false">
      <c r="G38" s="1" t="n">
        <v>2030</v>
      </c>
      <c r="H38" s="1" t="n">
        <v>12</v>
      </c>
      <c r="I38" s="1" t="n">
        <v>31</v>
      </c>
    </row>
    <row r="40" customFormat="false" ht="16.5" hidden="false" customHeight="false" outlineLevel="0" collapsed="false">
      <c r="G40" s="1" t="n">
        <v>2031</v>
      </c>
      <c r="H40" s="1" t="n">
        <v>1</v>
      </c>
      <c r="I40" s="1" t="n">
        <v>1</v>
      </c>
    </row>
    <row r="41" customFormat="false" ht="16.5" hidden="false" customHeight="false" outlineLevel="0" collapsed="false">
      <c r="G41" s="1" t="n">
        <v>2031</v>
      </c>
      <c r="H41" s="1" t="n">
        <v>12</v>
      </c>
      <c r="I41" s="1" t="n">
        <v>31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J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8" activeCellId="0" sqref="C18"/>
    </sheetView>
  </sheetViews>
  <sheetFormatPr defaultColWidth="8.73046875" defaultRowHeight="14.25" zeroHeight="false" outlineLevelRow="0" outlineLevelCol="0"/>
  <cols>
    <col collapsed="false" customWidth="true" hidden="false" outlineLevel="0" max="1" min="1" style="0" width="10.45"/>
    <col collapsed="false" customWidth="true" hidden="false" outlineLevel="0" max="2" min="2" style="0" width="12.82"/>
    <col collapsed="false" customWidth="true" hidden="false" outlineLevel="0" max="3" min="3" style="0" width="8.27"/>
    <col collapsed="false" customWidth="true" hidden="false" outlineLevel="0" max="7" min="4" style="0" width="6.82"/>
    <col collapsed="false" customWidth="true" hidden="false" outlineLevel="0" max="8" min="8" style="0" width="7.27"/>
    <col collapsed="false" customWidth="true" hidden="false" outlineLevel="0" max="9" min="9" style="0" width="13.45"/>
    <col collapsed="false" customWidth="true" hidden="false" outlineLevel="0" max="10" min="10" style="0" width="10.18"/>
  </cols>
  <sheetData>
    <row r="1" customFormat="false" ht="14.25" hidden="false" customHeight="false" outlineLevel="0" collapsed="false">
      <c r="A1" s="0" t="s">
        <v>14</v>
      </c>
    </row>
    <row r="2" customFormat="false" ht="14.25" hidden="false" customHeight="false" outlineLevel="0" collapsed="false">
      <c r="A2" s="5" t="n">
        <v>45291</v>
      </c>
    </row>
    <row r="4" customFormat="false" ht="14.25" hidden="false" customHeight="false" outlineLevel="0" collapsed="false">
      <c r="B4" s="6" t="s">
        <v>15</v>
      </c>
      <c r="C4" s="6" t="s">
        <v>16</v>
      </c>
      <c r="D4" s="6" t="s">
        <v>17</v>
      </c>
      <c r="E4" s="6" t="s">
        <v>18</v>
      </c>
      <c r="F4" s="6" t="s">
        <v>19</v>
      </c>
      <c r="G4" s="6" t="s">
        <v>20</v>
      </c>
      <c r="H4" s="6" t="s">
        <v>21</v>
      </c>
      <c r="I4" s="6" t="s">
        <v>22</v>
      </c>
      <c r="J4" s="7" t="s">
        <v>23</v>
      </c>
    </row>
    <row r="5" customFormat="false" ht="14.25" hidden="false" customHeight="false" outlineLevel="0" collapsed="false">
      <c r="A5" s="8" t="n">
        <f aca="false">Growth!B3</f>
        <v>43465</v>
      </c>
      <c r="B5" s="0" t="str">
        <f aca="false">Growth!B1</f>
        <v>Growth</v>
      </c>
      <c r="C5" s="9" t="n">
        <f aca="false">Growth!F6</f>
        <v>0.0396733756330039</v>
      </c>
      <c r="D5" s="9" t="n">
        <f aca="false">Growth!F7</f>
        <v>0.0396733756330039</v>
      </c>
      <c r="E5" s="9" t="n">
        <f aca="false">Growth!F8</f>
        <v>0.156990152597427</v>
      </c>
      <c r="F5" s="9" t="n">
        <f aca="false">Growth!F9</f>
        <v>0.0955791920423508</v>
      </c>
      <c r="G5" s="9" t="n">
        <f aca="false">Growth!F10</f>
        <v>0.133235400915146</v>
      </c>
      <c r="H5" s="9" t="n">
        <f aca="false">Growth!F11</f>
        <v>0.151731091737747</v>
      </c>
      <c r="I5" s="8" t="n">
        <f aca="false">$A$2</f>
        <v>45291</v>
      </c>
      <c r="J5" s="10" t="n">
        <f aca="false">_xlfn.DAYS(I5,A5)/365</f>
        <v>5.0027397260274</v>
      </c>
    </row>
    <row r="6" customFormat="false" ht="14.25" hidden="false" customHeight="false" outlineLevel="0" collapsed="false">
      <c r="A6" s="8" t="n">
        <f aca="false">Dividend!B3</f>
        <v>43465</v>
      </c>
      <c r="B6" s="0" t="str">
        <f aca="false">Dividend!B1</f>
        <v>Dividend</v>
      </c>
      <c r="C6" s="9" t="n">
        <f aca="false">Dividend!F6</f>
        <v>0.119200899214503</v>
      </c>
      <c r="D6" s="9" t="n">
        <f aca="false">Dividend!F7</f>
        <v>0.119200899214503</v>
      </c>
      <c r="E6" s="9" t="n">
        <f aca="false">Dividend!F8</f>
        <v>0.216127878427506</v>
      </c>
      <c r="F6" s="9" t="n">
        <f aca="false">Dividend!F9</f>
        <v>0.108026546239853</v>
      </c>
      <c r="G6" s="9" t="n">
        <f aca="false">Dividend!F10</f>
        <v>0.121195155382156</v>
      </c>
      <c r="H6" s="9" t="n">
        <f aca="false">Dividend!F11</f>
        <v>0.141081362962723</v>
      </c>
      <c r="I6" s="8" t="n">
        <f aca="false">$A$2</f>
        <v>45291</v>
      </c>
      <c r="J6" s="10" t="n">
        <f aca="false">_xlfn.DAYS(I6,A6)/365</f>
        <v>5.0027397260274</v>
      </c>
    </row>
    <row r="7" customFormat="false" ht="14.25" hidden="false" customHeight="false" outlineLevel="0" collapsed="false">
      <c r="A7" s="8" t="n">
        <f aca="false">Core!B3</f>
        <v>44561</v>
      </c>
      <c r="B7" s="0" t="str">
        <f aca="false">Core!B1</f>
        <v>Core Plus</v>
      </c>
      <c r="C7" s="9" t="n">
        <f aca="false">Core!F6</f>
        <v>0.0335859656086213</v>
      </c>
      <c r="D7" s="9" t="n">
        <f aca="false">Core!F7</f>
        <v>0.0335859656086213</v>
      </c>
      <c r="E7" s="9" t="n">
        <f aca="false">Core!F8</f>
        <v>0.151789218187332</v>
      </c>
      <c r="F7" s="9" t="n">
        <f aca="false">Core!F9</f>
        <v>0.0432835310697556</v>
      </c>
      <c r="G7" s="9" t="n">
        <f aca="false">Core!F10</f>
        <v>0.0432835310697556</v>
      </c>
      <c r="H7" s="9" t="n">
        <f aca="false">Core!F11</f>
        <v>0.0432835310697556</v>
      </c>
      <c r="I7" s="8" t="n">
        <f aca="false">$A$2</f>
        <v>45291</v>
      </c>
      <c r="J7" s="10" t="n">
        <f aca="false">_xlfn.DAYS(I7,A7)/365</f>
        <v>2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0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44" activeCellId="0" sqref="A44"/>
    </sheetView>
  </sheetViews>
  <sheetFormatPr defaultColWidth="9.18359375" defaultRowHeight="16.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3"/>
    <col collapsed="false" customWidth="true" hidden="false" outlineLevel="0" max="3" min="3" style="1" width="18.73"/>
    <col collapsed="false" customWidth="true" hidden="false" outlineLevel="0" max="4" min="4" style="1" width="10.73"/>
    <col collapsed="false" customWidth="true" hidden="false" outlineLevel="0" max="5" min="5" style="1" width="14.73"/>
    <col collapsed="false" customWidth="true" hidden="false" outlineLevel="0" max="6" min="6" style="11" width="23.54"/>
    <col collapsed="false" customWidth="false" hidden="false" outlineLevel="0" max="7" min="7" style="1" width="9.18"/>
    <col collapsed="false" customWidth="true" hidden="false" outlineLevel="0" max="8" min="8" style="1" width="16.54"/>
    <col collapsed="false" customWidth="true" hidden="false" outlineLevel="0" max="9" min="9" style="1" width="14.73"/>
    <col collapsed="false" customWidth="true" hidden="false" outlineLevel="0" max="10" min="10" style="1" width="13.73"/>
    <col collapsed="false" customWidth="false" hidden="false" outlineLevel="0" max="13" min="11" style="1" width="9.18"/>
    <col collapsed="false" customWidth="true" hidden="false" outlineLevel="0" max="14" min="14" style="1" width="13"/>
    <col collapsed="false" customWidth="false" hidden="false" outlineLevel="0" max="16384" min="15" style="1" width="9.18"/>
  </cols>
  <sheetData>
    <row r="1" customFormat="false" ht="16.5" hidden="false" customHeight="false" outlineLevel="0" collapsed="false">
      <c r="A1" s="12" t="s">
        <v>24</v>
      </c>
      <c r="B1" s="13" t="s">
        <v>25</v>
      </c>
      <c r="C1" s="13"/>
      <c r="D1" s="14"/>
      <c r="E1" s="14"/>
    </row>
    <row r="2" customFormat="false" ht="16.5" hidden="false" customHeight="false" outlineLevel="0" collapsed="false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customFormat="false" ht="17.25" hidden="false" customHeight="false" outlineLevel="0" collapsed="false">
      <c r="A3" s="15" t="n">
        <v>1000000</v>
      </c>
      <c r="B3" s="16" t="n">
        <f aca="false">DATE(2018,12,31)</f>
        <v>43465</v>
      </c>
      <c r="C3" s="1" t="s">
        <v>27</v>
      </c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 t="n">
        <f aca="false">HUB!G40</f>
        <v>2031</v>
      </c>
      <c r="P3" s="1" t="n">
        <f aca="false">HUB!H40</f>
        <v>1</v>
      </c>
      <c r="Q3" s="1" t="n">
        <f aca="false">HUB!I40</f>
        <v>1</v>
      </c>
    </row>
    <row r="4" customFormat="false" ht="17.25" hidden="false" customHeight="false" outlineLevel="0" collapsed="false">
      <c r="A4" s="15" t="n">
        <v>-1122848.04</v>
      </c>
      <c r="B4" s="16" t="n">
        <f aca="false">DATE(2019,3,31)</f>
        <v>43555</v>
      </c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1" t="s">
        <v>29</v>
      </c>
      <c r="O4" s="1" t="n">
        <f aca="false">HUB!G41</f>
        <v>2031</v>
      </c>
      <c r="P4" s="1" t="n">
        <f aca="false">HUB!H41</f>
        <v>12</v>
      </c>
      <c r="Q4" s="1" t="n">
        <f aca="false">HUB!I41</f>
        <v>31</v>
      </c>
    </row>
    <row r="5" customFormat="false" ht="17.25" hidden="false" customHeight="false" outlineLevel="0" collapsed="false">
      <c r="A5" s="15" t="n">
        <v>1122848.04</v>
      </c>
      <c r="B5" s="16" t="n">
        <f aca="false">DATE(2019,3,31)</f>
        <v>43555</v>
      </c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1" t="s">
        <v>31</v>
      </c>
      <c r="O5" s="19" t="n">
        <f aca="false">SUM(J:J)</f>
        <v>0</v>
      </c>
    </row>
    <row r="6" customFormat="false" ht="17.25" hidden="false" customHeight="false" outlineLevel="0" collapsed="false">
      <c r="A6" s="15" t="n">
        <v>-1151971.83</v>
      </c>
      <c r="B6" s="16" t="n">
        <f aca="false">DATE(2019,6,30)</f>
        <v>43646</v>
      </c>
      <c r="E6" s="20" t="s">
        <v>5</v>
      </c>
      <c r="F6" s="21" t="n">
        <v>0.0396733756330039</v>
      </c>
      <c r="G6" s="21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  <c r="N6" s="16"/>
    </row>
    <row r="7" customFormat="false" ht="17.25" hidden="false" customHeight="false" outlineLevel="0" collapsed="false">
      <c r="A7" s="15" t="n">
        <v>1151971.83</v>
      </c>
      <c r="B7" s="16" t="n">
        <f aca="false">DATE(2019,6,30)</f>
        <v>43646</v>
      </c>
      <c r="E7" s="20" t="s">
        <v>6</v>
      </c>
      <c r="F7" s="21" t="n">
        <v>0.0396733756330039</v>
      </c>
      <c r="G7" s="21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2"/>
      <c r="P7" s="2"/>
      <c r="Q7" s="2"/>
    </row>
    <row r="8" customFormat="false" ht="17.25" hidden="false" customHeight="false" outlineLevel="0" collapsed="false">
      <c r="A8" s="15" t="n">
        <v>-1192472.05</v>
      </c>
      <c r="B8" s="16" t="n">
        <f aca="false">DATE(2019,9,30)</f>
        <v>43738</v>
      </c>
      <c r="E8" s="20" t="s">
        <v>7</v>
      </c>
      <c r="F8" s="21" t="n">
        <v>0.156990152597427</v>
      </c>
      <c r="G8" s="21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2"/>
    </row>
    <row r="9" customFormat="false" ht="17.25" hidden="false" customHeight="false" outlineLevel="0" collapsed="false">
      <c r="A9" s="15" t="n">
        <v>1192472.05</v>
      </c>
      <c r="B9" s="16" t="n">
        <f aca="false">DATE(2019,9,30)</f>
        <v>43738</v>
      </c>
      <c r="E9" s="20" t="s">
        <v>8</v>
      </c>
      <c r="F9" s="21" t="n">
        <v>0.0955791920423508</v>
      </c>
      <c r="G9" s="21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5" t="n">
        <v>-1255905.93</v>
      </c>
      <c r="B10" s="16" t="n">
        <f aca="false">DATE(2019,12,31)</f>
        <v>43830</v>
      </c>
      <c r="E10" s="20" t="s">
        <v>9</v>
      </c>
      <c r="F10" s="21" t="n">
        <v>0.133235400915146</v>
      </c>
      <c r="G10" s="21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5" t="n">
        <v>1255905.93</v>
      </c>
      <c r="B11" s="16" t="n">
        <f aca="false">DATE(2019,12,31)</f>
        <v>43830</v>
      </c>
      <c r="E11" s="20" t="s">
        <v>10</v>
      </c>
      <c r="F11" s="21" t="n">
        <v>0.151731091737747</v>
      </c>
      <c r="G11" s="21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5" t="n">
        <v>-1070288.82962118</v>
      </c>
      <c r="B12" s="16" t="n">
        <f aca="false">DATE(2020,3,31)</f>
        <v>43921</v>
      </c>
      <c r="E12" s="22" t="s">
        <v>11</v>
      </c>
      <c r="F12" s="21" t="n">
        <v>0.151731091737747</v>
      </c>
      <c r="G12" s="21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5" t="n">
        <v>1070288.82962118</v>
      </c>
      <c r="B13" s="16" t="n">
        <f aca="false">DATE(2020,3,31)</f>
        <v>43921</v>
      </c>
      <c r="E13" s="20" t="n">
        <v>2019</v>
      </c>
      <c r="F13" s="21" t="n">
        <v>0.255905932188034</v>
      </c>
      <c r="G13" s="21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5" t="n">
        <v>-1257391.8148768</v>
      </c>
      <c r="B14" s="16" t="n">
        <f aca="false">DATE(2020,6,30)</f>
        <v>44012</v>
      </c>
      <c r="E14" s="20" t="n">
        <v>2020</v>
      </c>
      <c r="F14" s="21" t="n">
        <v>0.183119815587997</v>
      </c>
      <c r="G14" s="21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5" t="n">
        <v>1257391.8148768</v>
      </c>
      <c r="B15" s="16" t="n">
        <f aca="false">DATE(2020,6,30)</f>
        <v>44012</v>
      </c>
      <c r="E15" s="20" t="n">
        <v>2021</v>
      </c>
      <c r="F15" s="21" t="n">
        <v>0.325868064165115</v>
      </c>
      <c r="G15" s="21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5" t="n">
        <v>-1349411.62072268</v>
      </c>
      <c r="B16" s="16" t="n">
        <f aca="false">DATE(2020,9,30)</f>
        <v>44104</v>
      </c>
      <c r="E16" s="20" t="n">
        <v>2022</v>
      </c>
      <c r="F16" s="21" t="n">
        <v>-0.124910617247224</v>
      </c>
      <c r="G16" s="21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5" t="n">
        <v>1349411.62072268</v>
      </c>
      <c r="B17" s="16" t="n">
        <f aca="false">DATE(2020,9,30)</f>
        <v>44104</v>
      </c>
      <c r="E17" s="20" t="n">
        <v>2023</v>
      </c>
      <c r="F17" s="21" t="n">
        <v>0.17107235789299</v>
      </c>
      <c r="G17" s="21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5" t="n">
        <v>-1486571.89254575</v>
      </c>
      <c r="B18" s="16" t="n">
        <f aca="false">DATE(2020,12,31)</f>
        <v>44196</v>
      </c>
      <c r="E18" s="20" t="n">
        <v>2024</v>
      </c>
      <c r="F18" s="23" t="n">
        <v>0.0396733756330039</v>
      </c>
      <c r="G18" s="21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5" t="n">
        <v>1486571.89254575</v>
      </c>
      <c r="B19" s="16" t="n">
        <f aca="false">DATE(2020,12,31)</f>
        <v>44196</v>
      </c>
      <c r="D19" s="24"/>
      <c r="E19" s="20" t="n">
        <v>2025</v>
      </c>
      <c r="F19" s="23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5" t="n">
        <v>-1596538.34022334</v>
      </c>
      <c r="B20" s="16" t="n">
        <f aca="false">DATE(2021,3,31)</f>
        <v>44286</v>
      </c>
      <c r="E20" s="20" t="n">
        <v>2026</v>
      </c>
      <c r="F20" s="23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5" t="n">
        <v>1596538.34022334</v>
      </c>
      <c r="B21" s="16" t="n">
        <f aca="false">DATE(2021,3,31)</f>
        <v>44286</v>
      </c>
      <c r="E21" s="20" t="n">
        <v>2027</v>
      </c>
      <c r="F21" s="23" t="n">
        <v>0</v>
      </c>
      <c r="G21" s="17"/>
      <c r="H21" s="17" t="n">
        <f aca="false">IF(AND(DATE($O$3,$P$3,$Q$3)&lt;=$B21, $B21&lt;=DATE($O$4,$P$4,$Q$4)), IF(AND(H22=0, $A21 &gt; 0), 0, 1), IF(AND(H22&lt;&gt;0, $A21 &gt; 0), 1, 0))</f>
        <v>0</v>
      </c>
      <c r="I21" s="17" t="n">
        <f aca="false">IF(OR($H22&lt;&gt;0,$H21=0), 0, 1)</f>
        <v>0</v>
      </c>
      <c r="J21" s="17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7.25" hidden="false" customHeight="false" outlineLevel="0" collapsed="false">
      <c r="A22" s="15" t="n">
        <v>-1729758.29129219</v>
      </c>
      <c r="B22" s="16" t="n">
        <f aca="false">DATE(2021,6,30)</f>
        <v>44377</v>
      </c>
      <c r="E22" s="20" t="n">
        <v>2028</v>
      </c>
      <c r="F22" s="23" t="n">
        <v>0</v>
      </c>
      <c r="G22" s="17"/>
      <c r="H22" s="17" t="n">
        <f aca="false">IF(AND(DATE($O$3,$P$3,$Q$3)&lt;=$B22, $B22&lt;=DATE($O$4,$P$4,$Q$4)), IF(AND(H23=0, $A22 &gt; 0), 0, 1), IF(AND(H23&lt;&gt;0, $A22 &gt; 0), 1, 0))</f>
        <v>0</v>
      </c>
      <c r="I22" s="17" t="n">
        <f aca="false">IF(OR($H23&lt;&gt;0,$H22=0), 0, 1)</f>
        <v>0</v>
      </c>
      <c r="J22" s="17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7.25" hidden="false" customHeight="false" outlineLevel="0" collapsed="false">
      <c r="A23" s="15" t="n">
        <v>1729758.29129219</v>
      </c>
      <c r="B23" s="16" t="n">
        <f aca="false">DATE(2021,6,30)</f>
        <v>44377</v>
      </c>
      <c r="E23" s="20" t="n">
        <v>2029</v>
      </c>
      <c r="F23" s="23" t="n">
        <v>0</v>
      </c>
      <c r="G23" s="17"/>
      <c r="H23" s="17" t="n">
        <f aca="false">IF(AND(DATE($O$3,$P$3,$Q$3)&lt;=$B23, $B23&lt;=DATE($O$4,$P$4,$Q$4)), IF(AND(H24=0, $A23 &gt; 0), 0, 1), IF(AND(H24&lt;&gt;0, $A23 &gt; 0), 1, 0))</f>
        <v>0</v>
      </c>
      <c r="I23" s="17" t="n">
        <f aca="false">IF(OR($H24&lt;&gt;0,$H23=0), 0, 1)</f>
        <v>0</v>
      </c>
      <c r="J23" s="17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7.25" hidden="false" customHeight="false" outlineLevel="0" collapsed="false">
      <c r="A24" s="15" t="n">
        <v>-1823565.33355762</v>
      </c>
      <c r="B24" s="16" t="n">
        <f aca="false">DATE(2021,9,30)</f>
        <v>44469</v>
      </c>
      <c r="E24" s="20" t="n">
        <v>2030</v>
      </c>
      <c r="F24" s="23" t="n">
        <v>0</v>
      </c>
      <c r="G24" s="17"/>
      <c r="H24" s="17" t="n">
        <f aca="false">IF(AND(DATE($O$3,$P$3,$Q$3)&lt;=$B24, $B24&lt;=DATE($O$4,$P$4,$Q$4)), IF(AND(H25=0, $A24 &gt; 0), 0, 1), IF(AND(H25&lt;&gt;0, $A24 &gt; 0), 1, 0))</f>
        <v>0</v>
      </c>
      <c r="I24" s="17" t="n">
        <f aca="false">IF(OR($H25&lt;&gt;0,$H24=0), 0, 1)</f>
        <v>0</v>
      </c>
      <c r="J24" s="17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7.25" hidden="false" customHeight="false" outlineLevel="0" collapsed="false">
      <c r="A25" s="15" t="n">
        <v>1823565.33355762</v>
      </c>
      <c r="B25" s="16" t="n">
        <f aca="false">DATE(2021,9,30)</f>
        <v>44469</v>
      </c>
      <c r="E25" s="20" t="n">
        <v>2031</v>
      </c>
      <c r="F25" s="23" t="n">
        <v>0</v>
      </c>
      <c r="G25" s="17"/>
      <c r="H25" s="17" t="n">
        <f aca="false">IF(AND(DATE($O$3,$P$3,$Q$3)&lt;=$B25, $B25&lt;=DATE($O$4,$P$4,$Q$4)), IF(AND(H26=0, $A25 &gt; 0), 0, 1), IF(AND(H26&lt;&gt;0, $A25 &gt; 0), 1, 0))</f>
        <v>0</v>
      </c>
      <c r="I25" s="17" t="n">
        <f aca="false">IF(OR($H26&lt;&gt;0,$H25=0), 0, 1)</f>
        <v>0</v>
      </c>
      <c r="J25" s="17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7.25" hidden="false" customHeight="false" outlineLevel="0" collapsed="false">
      <c r="A26" s="15" t="n">
        <v>-1970998.205802</v>
      </c>
      <c r="B26" s="16" t="n">
        <f aca="false">DATE(2021,12,31)</f>
        <v>44561</v>
      </c>
      <c r="G26" s="17"/>
      <c r="H26" s="17" t="n">
        <f aca="false">IF(AND(DATE($O$3,$P$3,$Q$3)&lt;=$B26, $B26&lt;=DATE($O$4,$P$4,$Q$4)), IF(AND(H27=0, $A26 &gt; 0), 0, 1), IF(AND(H27&lt;&gt;0, $A26 &gt; 0), 1, 0))</f>
        <v>0</v>
      </c>
      <c r="I26" s="17" t="n">
        <f aca="false">IF(OR($H27&lt;&gt;0,$H26=0), 0, 1)</f>
        <v>0</v>
      </c>
      <c r="J26" s="17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7.25" hidden="false" customHeight="false" outlineLevel="0" collapsed="false">
      <c r="A27" s="15" t="n">
        <v>1970998.205802</v>
      </c>
      <c r="B27" s="16" t="n">
        <f aca="false">DATE(2021,12,31)</f>
        <v>44561</v>
      </c>
      <c r="G27" s="17"/>
      <c r="H27" s="17" t="n">
        <f aca="false">IF(AND(DATE($O$3,$P$3,$Q$3)&lt;=$B27, $B27&lt;=DATE($O$4,$P$4,$Q$4)), IF(AND(H28=0, $A27 &gt; 0), 0, 1), IF(AND(H28&lt;&gt;0, $A27 &gt; 0), 1, 0))</f>
        <v>0</v>
      </c>
      <c r="I27" s="17" t="n">
        <f aca="false">IF(OR($H28&lt;&gt;0,$H27=0), 0, 1)</f>
        <v>0</v>
      </c>
      <c r="J27" s="17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7.25" hidden="false" customHeight="false" outlineLevel="0" collapsed="false">
      <c r="A28" s="15" t="n">
        <v>-1877898.72889612</v>
      </c>
      <c r="B28" s="16" t="n">
        <f aca="false">DATE(2022,3,31)</f>
        <v>44651</v>
      </c>
      <c r="G28" s="17"/>
      <c r="H28" s="17" t="n">
        <f aca="false">IF(AND(DATE($O$3,$P$3,$Q$3)&lt;=$B28, $B28&lt;=DATE($O$4,$P$4,$Q$4)), IF(AND(H29=0, $A28 &gt; 0), 0, 1), IF(AND(H29&lt;&gt;0, $A28 &gt; 0), 1, 0))</f>
        <v>0</v>
      </c>
      <c r="I28" s="17" t="n">
        <f aca="false">IF(OR($H29&lt;&gt;0,$H28=0), 0, 1)</f>
        <v>0</v>
      </c>
      <c r="J28" s="17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7.25" hidden="false" customHeight="false" outlineLevel="0" collapsed="false">
      <c r="A29" s="15" t="n">
        <v>1877898.72889612</v>
      </c>
      <c r="B29" s="16" t="n">
        <f aca="false">DATE(2022,3,31)</f>
        <v>44651</v>
      </c>
      <c r="D29" s="17"/>
      <c r="E29" s="17"/>
      <c r="F29" s="25"/>
      <c r="G29" s="17"/>
      <c r="H29" s="17" t="n">
        <f aca="false">IF(AND(DATE($O$3,$P$3,$Q$3)&lt;=$B29, $B29&lt;=DATE($O$4,$P$4,$Q$4)), IF(AND(H30=0, $A29 &gt; 0), 0, 1), IF(AND(H30&lt;&gt;0, $A29 &gt; 0), 1, 0))</f>
        <v>0</v>
      </c>
      <c r="I29" s="17" t="n">
        <f aca="false">IF(OR($H30&lt;&gt;0,$H29=0), 0, 1)</f>
        <v>0</v>
      </c>
      <c r="J29" s="17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  <c r="Q29" s="26"/>
    </row>
    <row r="30" customFormat="false" ht="17.25" hidden="false" customHeight="false" outlineLevel="0" collapsed="false">
      <c r="A30" s="15" t="n">
        <v>-1598202.39364758</v>
      </c>
      <c r="B30" s="16" t="n">
        <f aca="false">DATE(2022,6,30)</f>
        <v>44742</v>
      </c>
      <c r="D30" s="17"/>
      <c r="E30" s="17"/>
      <c r="F30" s="25"/>
      <c r="G30" s="17"/>
      <c r="H30" s="17" t="n">
        <f aca="false">IF(AND(DATE($O$3,$P$3,$Q$3)&lt;=$B30, $B30&lt;=DATE($O$4,$P$4,$Q$4)), IF(AND(H31=0, $A30 &gt; 0), 0, 1), IF(AND(H31&lt;&gt;0, $A30 &gt; 0), 1, 0))</f>
        <v>0</v>
      </c>
      <c r="I30" s="17" t="n">
        <f aca="false">IF(OR($H31&lt;&gt;0,$H30=0), 0, 1)</f>
        <v>0</v>
      </c>
      <c r="J30" s="17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7.25" hidden="false" customHeight="false" outlineLevel="0" collapsed="false">
      <c r="A31" s="15" t="n">
        <v>1598202.39364758</v>
      </c>
      <c r="B31" s="16" t="n">
        <f aca="false">DATE(2022,6,30)</f>
        <v>44742</v>
      </c>
      <c r="H31" s="17" t="n">
        <f aca="false">IF(AND(DATE($O$3,$P$3,$Q$3)&lt;=$B31, $B31&lt;=DATE($O$4,$P$4,$Q$4)), IF(AND(H32=0, $A31 &gt; 0), 0, 1), IF(AND(H32&lt;&gt;0, $A31 &gt; 0), 1, 0))</f>
        <v>0</v>
      </c>
      <c r="I31" s="17" t="n">
        <f aca="false">IF(OR($H32&lt;&gt;0,$H31=0), 0, 1)</f>
        <v>0</v>
      </c>
      <c r="J31" s="17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7.25" hidden="false" customHeight="false" outlineLevel="0" collapsed="false">
      <c r="A32" s="15" t="n">
        <v>-1656915.01782113</v>
      </c>
      <c r="B32" s="16" t="n">
        <f aca="false">DATE(2022,9,30)</f>
        <v>44834</v>
      </c>
      <c r="C32" s="26"/>
      <c r="H32" s="17" t="n">
        <f aca="false">IF(AND(DATE($O$3,$P$3,$Q$3)&lt;=$B32, $B32&lt;=DATE($O$4,$P$4,$Q$4)), IF(AND(H33=0, $A32 &gt; 0), 0, 1), IF(AND(H33&lt;&gt;0, $A32 &gt; 0), 1, 0))</f>
        <v>0</v>
      </c>
      <c r="I32" s="17" t="n">
        <f aca="false">IF(OR($H33&lt;&gt;0,$H32=0), 0, 1)</f>
        <v>0</v>
      </c>
      <c r="J32" s="17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7.25" hidden="false" customHeight="false" outlineLevel="0" collapsed="false">
      <c r="A33" s="15" t="n">
        <v>1656915.01782113</v>
      </c>
      <c r="B33" s="16" t="n">
        <f aca="false">DATE(2022,9,30)</f>
        <v>44834</v>
      </c>
      <c r="E33" s="26"/>
      <c r="H33" s="17" t="n">
        <f aca="false">IF(AND(DATE($O$3,$P$3,$Q$3)&lt;=$B33, $B33&lt;=DATE($O$4,$P$4,$Q$4)), IF(AND(H34=0, $A33 &gt; 0), 0, 1), IF(AND(H34&lt;&gt;0, $A33 &gt; 0), 1, 0))</f>
        <v>0</v>
      </c>
      <c r="I33" s="17" t="n">
        <f aca="false">IF(OR($H34&lt;&gt;0,$H33=0), 0, 1)</f>
        <v>0</v>
      </c>
      <c r="J33" s="17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7.25" hidden="false" customHeight="false" outlineLevel="0" collapsed="false">
      <c r="A34" s="15" t="n">
        <v>-1724799.60802293</v>
      </c>
      <c r="B34" s="16" t="n">
        <f aca="false">DATE(2022,12,31)</f>
        <v>44926</v>
      </c>
      <c r="E34" s="24"/>
      <c r="H34" s="17" t="n">
        <f aca="false">IF(AND(DATE($O$3,$P$3,$Q$3)&lt;=$B34, $B34&lt;=DATE($O$4,$P$4,$Q$4)), IF(AND(H35=0, $A34 &gt; 0), 0, 1), IF(AND(H35&lt;&gt;0, $A34 &gt; 0), 1, 0))</f>
        <v>0</v>
      </c>
      <c r="I34" s="17" t="n">
        <f aca="false">IF(OR($H35&lt;&gt;0,$H34=0), 0, 1)</f>
        <v>0</v>
      </c>
      <c r="J34" s="17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7.25" hidden="false" customHeight="false" outlineLevel="0" collapsed="false">
      <c r="A35" s="15" t="n">
        <v>1724799.60802293</v>
      </c>
      <c r="B35" s="16" t="n">
        <f aca="false">DATE(2022,12,31)</f>
        <v>44926</v>
      </c>
      <c r="H35" s="17" t="n">
        <f aca="false">IF(AND(DATE($O$3,$P$3,$Q$3)&lt;=$B35, $B35&lt;=DATE($O$4,$P$4,$Q$4)), IF(AND(H36=0, $A35 &gt; 0), 0, 1), IF(AND(H36&lt;&gt;0, $A35 &gt; 0), 1, 0))</f>
        <v>0</v>
      </c>
      <c r="I35" s="17" t="n">
        <f aca="false">IF(OR($H36&lt;&gt;0,$H35=0), 0, 1)</f>
        <v>0</v>
      </c>
      <c r="J35" s="17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7.25" hidden="false" customHeight="false" outlineLevel="0" collapsed="false">
      <c r="A36" s="15" t="n">
        <v>-1814329.3430901</v>
      </c>
      <c r="B36" s="16" t="n">
        <f aca="false">DATE(2023,3,31)</f>
        <v>45016</v>
      </c>
      <c r="H36" s="17" t="n">
        <f aca="false">IF(AND(DATE($O$3,$P$3,$Q$3)&lt;=$B36, $B36&lt;=DATE($O$4,$P$4,$Q$4)), IF(AND(H37=0, $A36 &gt; 0), 0, 1), IF(AND(H37&lt;&gt;0, $A36 &gt; 0), 1, 0))</f>
        <v>0</v>
      </c>
      <c r="I36" s="17" t="n">
        <f aca="false">IF(OR($H37&lt;&gt;0,$H36=0), 0, 1)</f>
        <v>0</v>
      </c>
      <c r="J36" s="17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7.25" hidden="false" customHeight="false" outlineLevel="0" collapsed="false">
      <c r="A37" s="15" t="n">
        <v>1814329.3430901</v>
      </c>
      <c r="B37" s="16" t="n">
        <f aca="false">DATE(2023,3,31)</f>
        <v>45016</v>
      </c>
      <c r="H37" s="17" t="n">
        <f aca="false">IF(AND(DATE($O$3,$P$3,$Q$3)&lt;=$B37, $B37&lt;=DATE($O$4,$P$4,$Q$4)), IF(AND(H38=0, $A37 &gt; 0), 0, 1), IF(AND(H38&lt;&gt;0, $A37 &gt; 0), 1, 0))</f>
        <v>0</v>
      </c>
      <c r="I37" s="17" t="n">
        <f aca="false">IF(OR($H38&lt;&gt;0,$H37=0), 0, 1)</f>
        <v>0</v>
      </c>
      <c r="J37" s="17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7.25" hidden="false" customHeight="false" outlineLevel="0" collapsed="false">
      <c r="A38" s="15" t="n">
        <v>-1878131.16155072</v>
      </c>
      <c r="B38" s="16" t="n">
        <f aca="false">DATE(2023,6,30)</f>
        <v>45107</v>
      </c>
      <c r="H38" s="17" t="n">
        <f aca="false">IF(AND(DATE($O$3,$P$3,$Q$3)&lt;=$B38, $B38&lt;=DATE($O$4,$P$4,$Q$4)), IF(AND(H39=0, $A38 &gt; 0), 0, 1), IF(AND(H39&lt;&gt;0, $A38 &gt; 0), 1, 0))</f>
        <v>0</v>
      </c>
      <c r="I38" s="17" t="n">
        <f aca="false">IF(OR($H39&lt;&gt;0,$H38=0), 0, 1)</f>
        <v>0</v>
      </c>
      <c r="J38" s="17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7.25" hidden="false" customHeight="false" outlineLevel="0" collapsed="false">
      <c r="A39" s="15" t="n">
        <v>1878131.16155072</v>
      </c>
      <c r="B39" s="16" t="n">
        <f aca="false">DATE(2023,6,30)</f>
        <v>45107</v>
      </c>
      <c r="H39" s="17" t="n">
        <f aca="false">IF(AND(DATE($O$3,$P$3,$Q$3)&lt;=$B39, $B39&lt;=DATE($O$4,$P$4,$Q$4)), IF(AND(H40=0, $A39 &gt; 0), 0, 1), IF(AND(H40&lt;&gt;0, $A39 &gt; 0), 1, 0))</f>
        <v>0</v>
      </c>
      <c r="I39" s="17" t="n">
        <f aca="false">IF(OR($H40&lt;&gt;0,$H39=0), 0, 1)</f>
        <v>0</v>
      </c>
      <c r="J39" s="17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7.25" hidden="false" customHeight="false" outlineLevel="0" collapsed="false">
      <c r="A40" s="15" t="n">
        <v>-1821126.41688815</v>
      </c>
      <c r="B40" s="16" t="n">
        <f aca="false">DATE(2023,9,30)</f>
        <v>45199</v>
      </c>
      <c r="H40" s="17" t="n">
        <f aca="false">IF(AND(DATE($O$3,$P$3,$Q$3)&lt;=$B40, $B40&lt;=DATE($O$4,$P$4,$Q$4)), IF(AND(H41=0, $A40 &gt; 0), 0, 1), IF(AND(H41&lt;&gt;0, $A40 &gt; 0), 1, 0))</f>
        <v>0</v>
      </c>
      <c r="I40" s="17" t="n">
        <f aca="false">IF(OR($H41&lt;&gt;0,$H40=0), 0, 1)</f>
        <v>0</v>
      </c>
      <c r="J40" s="17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7.25" hidden="false" customHeight="false" outlineLevel="0" collapsed="false">
      <c r="A41" s="15" t="n">
        <v>1821126.41688815</v>
      </c>
      <c r="B41" s="16" t="n">
        <f aca="false">DATE(2023,9,30)</f>
        <v>45199</v>
      </c>
      <c r="H41" s="17" t="n">
        <f aca="false">IF(AND(DATE($O$3,$P$3,$Q$3)&lt;=$B41, $B41&lt;=DATE($O$4,$P$4,$Q$4)), IF(AND(H42=0, $A41 &gt; 0), 0, 1), IF(AND(H42&lt;&gt;0, $A41 &gt; 0), 1, 0))</f>
        <v>0</v>
      </c>
      <c r="I41" s="17" t="n">
        <f aca="false">IF(OR($H42&lt;&gt;0,$H41=0), 0, 1)</f>
        <v>0</v>
      </c>
      <c r="J41" s="17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7.25" hidden="false" customHeight="false" outlineLevel="0" collapsed="false">
      <c r="A42" s="15" t="n">
        <v>-2019865.13373583</v>
      </c>
      <c r="B42" s="16" t="n">
        <f aca="false">DATE(2023,12,31)</f>
        <v>45291</v>
      </c>
      <c r="H42" s="17" t="n">
        <f aca="false">IF(AND(DATE($O$3,$P$3,$Q$3)&lt;=$B42, $B42&lt;=DATE($O$4,$P$4,$Q$4)), IF(AND(H43=0, $A42 &gt; 0), 0, 1), IF(AND(H43&lt;&gt;0, $A42 &gt; 0), 1, 0))</f>
        <v>0</v>
      </c>
      <c r="I42" s="17" t="n">
        <f aca="false">IF(OR($H43&lt;&gt;0,$H42=0), 0, 1)</f>
        <v>0</v>
      </c>
      <c r="J42" s="17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7.25" hidden="false" customHeight="false" outlineLevel="0" collapsed="false">
      <c r="A43" s="15" t="n">
        <v>2019865.13373583</v>
      </c>
      <c r="B43" s="16" t="n">
        <f aca="false">DATE(2023,12,31)</f>
        <v>45291</v>
      </c>
      <c r="H43" s="17" t="n">
        <f aca="false">IF(AND(DATE($O$3,$P$3,$Q$3)&lt;=$B43, $B43&lt;=DATE($O$4,$P$4,$Q$4)), IF(AND(H44=0, $A43 &gt; 0), 0, 1), IF(AND(H44&lt;&gt;0, $A43 &gt; 0), 1, 0))</f>
        <v>0</v>
      </c>
      <c r="I43" s="17" t="n">
        <f aca="false">IF(OR($H44&lt;&gt;0,$H43=0), 0, 1)</f>
        <v>0</v>
      </c>
      <c r="J43" s="17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7.25" hidden="false" customHeight="false" outlineLevel="0" collapsed="false">
      <c r="A44" s="27" t="n">
        <v>-2100000</v>
      </c>
      <c r="B44" s="16" t="n">
        <f aca="false">DATE(2024,3,31)</f>
        <v>45382</v>
      </c>
      <c r="H44" s="17" t="n">
        <f aca="false">IF(AND(DATE($O$3,$P$3,$Q$3)&lt;=$B44, $B44&lt;=DATE($O$4,$P$4,$Q$4)), IF(AND(H45=0, $A44 &gt; 0), 0, 1), IF(AND(H45&lt;&gt;0, $A44 &gt; 0), 1, 0))</f>
        <v>0</v>
      </c>
      <c r="I44" s="17" t="n">
        <f aca="false">IF(OR($H45&lt;&gt;0,$H44=0), 0, 1)</f>
        <v>0</v>
      </c>
      <c r="J44" s="17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7.25" hidden="false" customHeight="false" outlineLevel="0" collapsed="false">
      <c r="A45" s="27"/>
      <c r="B45" s="16"/>
      <c r="H45" s="17"/>
      <c r="I45" s="17"/>
      <c r="J45" s="17"/>
    </row>
    <row r="46" customFormat="false" ht="17.25" hidden="false" customHeight="false" outlineLevel="0" collapsed="false">
      <c r="A46" s="27"/>
      <c r="B46" s="16"/>
      <c r="H46" s="17"/>
      <c r="I46" s="17"/>
      <c r="J46" s="17"/>
    </row>
    <row r="47" customFormat="false" ht="16.5" hidden="false" customHeight="false" outlineLevel="0" collapsed="false">
      <c r="A47" s="27"/>
      <c r="B47" s="16"/>
    </row>
    <row r="48" customFormat="false" ht="16.5" hidden="false" customHeight="false" outlineLevel="0" collapsed="false">
      <c r="A48" s="27"/>
    </row>
    <row r="49" customFormat="false" ht="16.5" hidden="false" customHeight="false" outlineLevel="0" collapsed="false">
      <c r="A49" s="27"/>
    </row>
    <row r="50" customFormat="false" ht="16.5" hidden="false" customHeight="false" outlineLevel="0" collapsed="false">
      <c r="A50" s="27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8"/>
  <sheetViews>
    <sheetView showFormulas="false" showGridLines="true" showRowColHeaders="true" showZeros="true" rightToLeft="false" tabSelected="false" showOutlineSymbols="true" defaultGridColor="true" view="normal" topLeftCell="A7" colorId="64" zoomScale="98" zoomScaleNormal="98" zoomScalePageLayoutView="100" workbookViewId="0">
      <selection pane="topLeft" activeCell="A44" activeCellId="0" sqref="A44"/>
    </sheetView>
  </sheetViews>
  <sheetFormatPr defaultColWidth="9.18359375" defaultRowHeight="16.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3"/>
    <col collapsed="false" customWidth="true" hidden="false" outlineLevel="0" max="3" min="3" style="1" width="18.73"/>
    <col collapsed="false" customWidth="true" hidden="false" outlineLevel="0" max="4" min="4" style="1" width="10.73"/>
    <col collapsed="false" customWidth="true" hidden="false" outlineLevel="0" max="5" min="5" style="1" width="14.73"/>
    <col collapsed="false" customWidth="true" hidden="false" outlineLevel="0" max="6" min="6" style="11" width="23.54"/>
    <col collapsed="false" customWidth="false" hidden="false" outlineLevel="0" max="7" min="7" style="1" width="9.18"/>
    <col collapsed="false" customWidth="true" hidden="false" outlineLevel="0" max="8" min="8" style="1" width="16.54"/>
    <col collapsed="false" customWidth="true" hidden="false" outlineLevel="0" max="9" min="9" style="1" width="14.73"/>
    <col collapsed="false" customWidth="true" hidden="false" outlineLevel="0" max="10" min="10" style="1" width="13.73"/>
    <col collapsed="false" customWidth="false" hidden="false" outlineLevel="0" max="16384" min="11" style="1" width="9.18"/>
  </cols>
  <sheetData>
    <row r="1" customFormat="false" ht="16.5" hidden="false" customHeight="false" outlineLevel="0" collapsed="false">
      <c r="A1" s="12" t="s">
        <v>32</v>
      </c>
      <c r="B1" s="13" t="s">
        <v>33</v>
      </c>
      <c r="C1" s="13"/>
      <c r="D1" s="14"/>
      <c r="E1" s="14"/>
    </row>
    <row r="2" customFormat="false" ht="16.5" hidden="false" customHeight="false" outlineLevel="0" collapsed="false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customFormat="false" ht="17.25" hidden="false" customHeight="false" outlineLevel="0" collapsed="false">
      <c r="A3" s="15" t="n">
        <v>1000000</v>
      </c>
      <c r="B3" s="16" t="n">
        <f aca="false">DATE(2018,12,31)</f>
        <v>43465</v>
      </c>
      <c r="C3" s="1" t="s">
        <v>27</v>
      </c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 t="n">
        <f aca="false">HUB!G40</f>
        <v>2031</v>
      </c>
      <c r="P3" s="1" t="n">
        <f aca="false">HUB!H40</f>
        <v>1</v>
      </c>
      <c r="Q3" s="1" t="n">
        <f aca="false">HUB!I40</f>
        <v>1</v>
      </c>
    </row>
    <row r="4" customFormat="false" ht="17.25" hidden="false" customHeight="false" outlineLevel="0" collapsed="false">
      <c r="A4" s="15" t="n">
        <v>-1128110.66</v>
      </c>
      <c r="B4" s="16" t="n">
        <f aca="false">DATE(2019,3,31)</f>
        <v>43555</v>
      </c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1" t="s">
        <v>29</v>
      </c>
      <c r="O4" s="1" t="n">
        <f aca="false">HUB!G41</f>
        <v>2031</v>
      </c>
      <c r="P4" s="1" t="n">
        <f aca="false">HUB!H41</f>
        <v>12</v>
      </c>
      <c r="Q4" s="1" t="n">
        <f aca="false">HUB!I41</f>
        <v>31</v>
      </c>
    </row>
    <row r="5" customFormat="false" ht="17.25" hidden="false" customHeight="false" outlineLevel="0" collapsed="false">
      <c r="A5" s="15" t="n">
        <v>1128110.6596362</v>
      </c>
      <c r="B5" s="16" t="n">
        <f aca="false">DATE(2019,3,31)</f>
        <v>43555</v>
      </c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1" t="s">
        <v>31</v>
      </c>
      <c r="O5" s="19" t="n">
        <f aca="false">SUM(J:J)</f>
        <v>0</v>
      </c>
    </row>
    <row r="6" customFormat="false" ht="17.25" hidden="false" customHeight="false" outlineLevel="0" collapsed="false">
      <c r="A6" s="15" t="n">
        <v>-1153231.67</v>
      </c>
      <c r="B6" s="16" t="n">
        <f aca="false">DATE(2019,6,30)</f>
        <v>43646</v>
      </c>
      <c r="E6" s="20" t="s">
        <v>5</v>
      </c>
      <c r="F6" s="21" t="n">
        <v>0.119200899214503</v>
      </c>
      <c r="G6" s="21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7.25" hidden="false" customHeight="false" outlineLevel="0" collapsed="false">
      <c r="A7" s="15" t="n">
        <v>1153231.67</v>
      </c>
      <c r="B7" s="16" t="n">
        <f aca="false">DATE(2019,6,30)</f>
        <v>43646</v>
      </c>
      <c r="E7" s="20" t="s">
        <v>6</v>
      </c>
      <c r="F7" s="21" t="n">
        <v>0.119200899214503</v>
      </c>
      <c r="G7" s="21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2"/>
      <c r="P7" s="2"/>
      <c r="Q7" s="2"/>
    </row>
    <row r="8" customFormat="false" ht="17.25" hidden="false" customHeight="false" outlineLevel="0" collapsed="false">
      <c r="A8" s="15" t="n">
        <v>-1202260.62359174</v>
      </c>
      <c r="B8" s="16" t="n">
        <f aca="false">DATE(2019,9,30)</f>
        <v>43738</v>
      </c>
      <c r="E8" s="20" t="s">
        <v>7</v>
      </c>
      <c r="F8" s="21" t="n">
        <v>0.216127878427506</v>
      </c>
      <c r="G8" s="21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2"/>
    </row>
    <row r="9" customFormat="false" ht="17.25" hidden="false" customHeight="false" outlineLevel="0" collapsed="false">
      <c r="A9" s="15" t="n">
        <v>1202260.62359174</v>
      </c>
      <c r="B9" s="16" t="n">
        <f aca="false">DATE(2019,9,30)</f>
        <v>43738</v>
      </c>
      <c r="E9" s="20" t="s">
        <v>8</v>
      </c>
      <c r="F9" s="21" t="n">
        <v>0.108026546239853</v>
      </c>
      <c r="G9" s="21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5" t="n">
        <v>-1241777.475196</v>
      </c>
      <c r="B10" s="16" t="n">
        <f aca="false">DATE(2019,12,31)</f>
        <v>43830</v>
      </c>
      <c r="E10" s="20" t="s">
        <v>9</v>
      </c>
      <c r="F10" s="21" t="n">
        <v>0.121195155382156</v>
      </c>
      <c r="G10" s="21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5" t="n">
        <v>1241777.475196</v>
      </c>
      <c r="B11" s="16" t="n">
        <f aca="false">DATE(2019,12,31)</f>
        <v>43830</v>
      </c>
      <c r="E11" s="20" t="s">
        <v>10</v>
      </c>
      <c r="F11" s="21" t="n">
        <v>0.141081362962723</v>
      </c>
      <c r="G11" s="21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5" t="n">
        <v>-1068530.45750144</v>
      </c>
      <c r="B12" s="16" t="n">
        <f aca="false">DATE(2020,3,31)</f>
        <v>43921</v>
      </c>
      <c r="E12" s="20" t="s">
        <v>11</v>
      </c>
      <c r="F12" s="21" t="n">
        <v>0.141081362962723</v>
      </c>
      <c r="G12" s="21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5" t="n">
        <v>1068530.45750144</v>
      </c>
      <c r="B13" s="16" t="n">
        <f aca="false">DATE(2020,3,31)</f>
        <v>43921</v>
      </c>
      <c r="E13" s="20" t="n">
        <v>2019</v>
      </c>
      <c r="F13" s="21" t="n">
        <v>0.241777473688126</v>
      </c>
      <c r="G13" s="21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5" t="n">
        <v>-1202271.15201529</v>
      </c>
      <c r="B14" s="16" t="n">
        <f aca="false">DATE(2020,6,30)</f>
        <v>44012</v>
      </c>
      <c r="E14" s="20" t="n">
        <v>2020</v>
      </c>
      <c r="F14" s="21" t="n">
        <v>0.120374912023544</v>
      </c>
      <c r="G14" s="21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5" t="n">
        <v>1202271.15201529</v>
      </c>
      <c r="B15" s="16" t="n">
        <f aca="false">DATE(2020,6,30)</f>
        <v>44012</v>
      </c>
      <c r="E15" s="20" t="n">
        <v>2021</v>
      </c>
      <c r="F15" s="21" t="n">
        <v>0.298284095525742</v>
      </c>
      <c r="G15" s="21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5" t="n">
        <v>-1275309.62258847</v>
      </c>
      <c r="B16" s="16" t="n">
        <f aca="false">DATE(2020,9,30)</f>
        <v>44104</v>
      </c>
      <c r="E16" s="20" t="n">
        <v>2022</v>
      </c>
      <c r="F16" s="21" t="n">
        <v>-0.129766032472253</v>
      </c>
      <c r="G16" s="21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5" t="n">
        <v>1275309.62258847</v>
      </c>
      <c r="B17" s="16" t="n">
        <f aca="false">DATE(2020,9,30)</f>
        <v>44104</v>
      </c>
      <c r="E17" s="20" t="n">
        <v>2023</v>
      </c>
      <c r="F17" s="21" t="n">
        <v>0.136511355638504</v>
      </c>
      <c r="G17" s="21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5" t="n">
        <v>-1391689.64685847</v>
      </c>
      <c r="B18" s="16" t="n">
        <f aca="false">DATE(2020,12,31)</f>
        <v>44196</v>
      </c>
      <c r="E18" s="20" t="n">
        <v>2024</v>
      </c>
      <c r="F18" s="21" t="n">
        <v>0.119200899214503</v>
      </c>
      <c r="G18" s="21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5" t="n">
        <v>1391689.64685847</v>
      </c>
      <c r="B19" s="16" t="n">
        <f aca="false">DATE(2020,12,31)</f>
        <v>44196</v>
      </c>
      <c r="E19" s="20" t="n">
        <v>2025</v>
      </c>
      <c r="F19" s="23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5" t="n">
        <v>-1469797.27487</v>
      </c>
      <c r="B20" s="16" t="n">
        <f aca="false">DATE(2021,3,31)</f>
        <v>44286</v>
      </c>
      <c r="E20" s="20" t="n">
        <v>2026</v>
      </c>
      <c r="F20" s="23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5" t="n">
        <v>1469797.27487</v>
      </c>
      <c r="B21" s="16" t="n">
        <f aca="false">DATE(2021,3,31)</f>
        <v>44286</v>
      </c>
      <c r="E21" s="20" t="n">
        <v>2027</v>
      </c>
      <c r="F21" s="23" t="n">
        <v>0</v>
      </c>
      <c r="G21" s="17"/>
      <c r="H21" s="17" t="n">
        <f aca="false">IF(AND(DATE($O$3,$P$3,$Q$3)&lt;=$B21, $B21&lt;=DATE($O$4,$P$4,$Q$4)), IF(AND(H22=0, $A21 &gt; 0), 0, 1), IF(AND(H22&lt;&gt;0, $A21 &gt; 0), 1, 0))</f>
        <v>0</v>
      </c>
      <c r="I21" s="17" t="n">
        <f aca="false">IF(OR($H22&lt;&gt;0,$H21=0), 0, 1)</f>
        <v>0</v>
      </c>
      <c r="J21" s="17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</row>
    <row r="22" customFormat="false" ht="17.25" hidden="false" customHeight="false" outlineLevel="0" collapsed="false">
      <c r="A22" s="15" t="n">
        <v>-1586071.36329795</v>
      </c>
      <c r="B22" s="16" t="n">
        <f aca="false">DATE(2021,6,30)</f>
        <v>44377</v>
      </c>
      <c r="E22" s="20" t="n">
        <v>2028</v>
      </c>
      <c r="F22" s="23" t="n">
        <v>0</v>
      </c>
      <c r="G22" s="17"/>
      <c r="H22" s="17" t="n">
        <f aca="false">IF(AND(DATE($O$3,$P$3,$Q$3)&lt;=$B22, $B22&lt;=DATE($O$4,$P$4,$Q$4)), IF(AND(H23=0, $A22 &gt; 0), 0, 1), IF(AND(H23&lt;&gt;0, $A22 &gt; 0), 1, 0))</f>
        <v>0</v>
      </c>
      <c r="I22" s="17" t="n">
        <f aca="false">IF(OR($H23&lt;&gt;0,$H22=0), 0, 1)</f>
        <v>0</v>
      </c>
      <c r="J22" s="17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</row>
    <row r="23" customFormat="false" ht="17.25" hidden="false" customHeight="false" outlineLevel="0" collapsed="false">
      <c r="A23" s="15" t="n">
        <v>1586071.36329795</v>
      </c>
      <c r="B23" s="16" t="n">
        <f aca="false">DATE(2021,6,30)</f>
        <v>44377</v>
      </c>
      <c r="E23" s="20" t="n">
        <v>2029</v>
      </c>
      <c r="F23" s="23" t="n">
        <v>0</v>
      </c>
      <c r="G23" s="17"/>
      <c r="H23" s="17" t="n">
        <f aca="false">IF(AND(DATE($O$3,$P$3,$Q$3)&lt;=$B23, $B23&lt;=DATE($O$4,$P$4,$Q$4)), IF(AND(H24=0, $A23 &gt; 0), 0, 1), IF(AND(H24&lt;&gt;0, $A23 &gt; 0), 1, 0))</f>
        <v>0</v>
      </c>
      <c r="I23" s="17" t="n">
        <f aca="false">IF(OR($H24&lt;&gt;0,$H23=0), 0, 1)</f>
        <v>0</v>
      </c>
      <c r="J23" s="17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</row>
    <row r="24" customFormat="false" ht="17.25" hidden="false" customHeight="false" outlineLevel="0" collapsed="false">
      <c r="A24" s="15" t="n">
        <v>-1653741.83256237</v>
      </c>
      <c r="B24" s="16" t="n">
        <f aca="false">DATE(2021,9,30)</f>
        <v>44469</v>
      </c>
      <c r="E24" s="20" t="n">
        <v>2030</v>
      </c>
      <c r="F24" s="23" t="n">
        <v>0</v>
      </c>
      <c r="G24" s="17"/>
      <c r="H24" s="17" t="n">
        <f aca="false">IF(AND(DATE($O$3,$P$3,$Q$3)&lt;=$B24, $B24&lt;=DATE($O$4,$P$4,$Q$4)), IF(AND(H25=0, $A24 &gt; 0), 0, 1), IF(AND(H25&lt;&gt;0, $A24 &gt; 0), 1, 0))</f>
        <v>0</v>
      </c>
      <c r="I24" s="17" t="n">
        <f aca="false">IF(OR($H25&lt;&gt;0,$H24=0), 0, 1)</f>
        <v>0</v>
      </c>
      <c r="J24" s="17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</row>
    <row r="25" customFormat="false" ht="17.25" hidden="false" customHeight="false" outlineLevel="0" collapsed="false">
      <c r="A25" s="15" t="n">
        <v>1653741.83256237</v>
      </c>
      <c r="B25" s="16" t="n">
        <f aca="false">DATE(2021,9,30)</f>
        <v>44469</v>
      </c>
      <c r="E25" s="20" t="n">
        <v>2031</v>
      </c>
      <c r="F25" s="23" t="n">
        <v>0</v>
      </c>
      <c r="G25" s="17"/>
      <c r="H25" s="17" t="n">
        <f aca="false">IF(AND(DATE($O$3,$P$3,$Q$3)&lt;=$B25, $B25&lt;=DATE($O$4,$P$4,$Q$4)), IF(AND(H26=0, $A25 &gt; 0), 0, 1), IF(AND(H26&lt;&gt;0, $A25 &gt; 0), 1, 0))</f>
        <v>0</v>
      </c>
      <c r="I25" s="17" t="n">
        <f aca="false">IF(OR($H26&lt;&gt;0,$H25=0), 0, 1)</f>
        <v>0</v>
      </c>
      <c r="J25" s="17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</row>
    <row r="26" customFormat="false" ht="17.25" hidden="false" customHeight="false" outlineLevel="0" collapsed="false">
      <c r="A26" s="15" t="n">
        <v>-1806808.532842</v>
      </c>
      <c r="B26" s="16" t="n">
        <f aca="false">DATE(2021,12,31)</f>
        <v>44561</v>
      </c>
      <c r="G26" s="17"/>
      <c r="H26" s="17" t="n">
        <f aca="false">IF(AND(DATE($O$3,$P$3,$Q$3)&lt;=$B26, $B26&lt;=DATE($O$4,$P$4,$Q$4)), IF(AND(H27=0, $A26 &gt; 0), 0, 1), IF(AND(H27&lt;&gt;0, $A26 &gt; 0), 1, 0))</f>
        <v>0</v>
      </c>
      <c r="I26" s="17" t="n">
        <f aca="false">IF(OR($H27&lt;&gt;0,$H26=0), 0, 1)</f>
        <v>0</v>
      </c>
      <c r="J26" s="17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</row>
    <row r="27" customFormat="false" ht="17.25" hidden="false" customHeight="false" outlineLevel="0" collapsed="false">
      <c r="A27" s="15" t="n">
        <v>1806808.532842</v>
      </c>
      <c r="B27" s="16" t="n">
        <f aca="false">DATE(2021,12,31)</f>
        <v>44561</v>
      </c>
      <c r="C27" s="26"/>
      <c r="G27" s="17"/>
      <c r="H27" s="17" t="n">
        <f aca="false">IF(AND(DATE($O$3,$P$3,$Q$3)&lt;=$B27, $B27&lt;=DATE($O$4,$P$4,$Q$4)), IF(AND(H28=0, $A27 &gt; 0), 0, 1), IF(AND(H28&lt;&gt;0, $A27 &gt; 0), 1, 0))</f>
        <v>0</v>
      </c>
      <c r="I27" s="17" t="n">
        <f aca="false">IF(OR($H28&lt;&gt;0,$H27=0), 0, 1)</f>
        <v>0</v>
      </c>
      <c r="J27" s="17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</row>
    <row r="28" customFormat="false" ht="17.25" hidden="false" customHeight="false" outlineLevel="0" collapsed="false">
      <c r="A28" s="15" t="n">
        <v>-1745231.99705568</v>
      </c>
      <c r="B28" s="16" t="n">
        <f aca="false">DATE(2022,3,31)</f>
        <v>44651</v>
      </c>
      <c r="C28" s="26"/>
      <c r="G28" s="17"/>
      <c r="H28" s="17" t="n">
        <f aca="false">IF(AND(DATE($O$3,$P$3,$Q$3)&lt;=$B28, $B28&lt;=DATE($O$4,$P$4,$Q$4)), IF(AND(H29=0, $A28 &gt; 0), 0, 1), IF(AND(H29&lt;&gt;0, $A28 &gt; 0), 1, 0))</f>
        <v>0</v>
      </c>
      <c r="I28" s="17" t="n">
        <f aca="false">IF(OR($H29&lt;&gt;0,$H28=0), 0, 1)</f>
        <v>0</v>
      </c>
      <c r="J28" s="17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</row>
    <row r="29" customFormat="false" ht="17.25" hidden="false" customHeight="false" outlineLevel="0" collapsed="false">
      <c r="A29" s="15" t="n">
        <v>1745231.99705568</v>
      </c>
      <c r="B29" s="16" t="n">
        <f aca="false">DATE(2022,3,31)</f>
        <v>44651</v>
      </c>
      <c r="D29" s="17"/>
      <c r="E29" s="17"/>
      <c r="F29" s="25"/>
      <c r="G29" s="17"/>
      <c r="H29" s="17" t="n">
        <f aca="false">IF(AND(DATE($O$3,$P$3,$Q$3)&lt;=$B29, $B29&lt;=DATE($O$4,$P$4,$Q$4)), IF(AND(H30=0, $A29 &gt; 0), 0, 1), IF(AND(H30&lt;&gt;0, $A29 &gt; 0), 1, 0))</f>
        <v>0</v>
      </c>
      <c r="I29" s="17" t="n">
        <f aca="false">IF(OR($H30&lt;&gt;0,$H29=0), 0, 1)</f>
        <v>0</v>
      </c>
      <c r="J29" s="17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</row>
    <row r="30" customFormat="false" ht="17.25" hidden="false" customHeight="false" outlineLevel="0" collapsed="false">
      <c r="A30" s="15" t="n">
        <v>-1526457.74612542</v>
      </c>
      <c r="B30" s="16" t="n">
        <f aca="false">DATE(2022,6,30)</f>
        <v>44742</v>
      </c>
      <c r="D30" s="17"/>
      <c r="E30" s="17"/>
      <c r="F30" s="25"/>
      <c r="G30" s="17"/>
      <c r="H30" s="17" t="n">
        <f aca="false">IF(AND(DATE($O$3,$P$3,$Q$3)&lt;=$B30, $B30&lt;=DATE($O$4,$P$4,$Q$4)), IF(AND(H31=0, $A30 &gt; 0), 0, 1), IF(AND(H31&lt;&gt;0, $A30 &gt; 0), 1, 0))</f>
        <v>0</v>
      </c>
      <c r="I30" s="17" t="n">
        <f aca="false">IF(OR($H31&lt;&gt;0,$H30=0), 0, 1)</f>
        <v>0</v>
      </c>
      <c r="J30" s="17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7.25" hidden="false" customHeight="false" outlineLevel="0" collapsed="false">
      <c r="A31" s="15" t="n">
        <v>1526457.74612542</v>
      </c>
      <c r="B31" s="16" t="n">
        <f aca="false">DATE(2022,6,30)</f>
        <v>44742</v>
      </c>
      <c r="H31" s="17" t="n">
        <f aca="false">IF(AND(DATE($O$3,$P$3,$Q$3)&lt;=$B31, $B31&lt;=DATE($O$4,$P$4,$Q$4)), IF(AND(H32=0, $A31 &gt; 0), 0, 1), IF(AND(H32&lt;&gt;0, $A31 &gt; 0), 1, 0))</f>
        <v>0</v>
      </c>
      <c r="I31" s="17" t="n">
        <f aca="false">IF(OR($H32&lt;&gt;0,$H31=0), 0, 1)</f>
        <v>0</v>
      </c>
      <c r="J31" s="17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7.25" hidden="false" customHeight="false" outlineLevel="0" collapsed="false">
      <c r="A32" s="15" t="n">
        <v>-1538101.02362322</v>
      </c>
      <c r="B32" s="16" t="n">
        <f aca="false">DATE(2022,9,30)</f>
        <v>44834</v>
      </c>
      <c r="H32" s="17" t="n">
        <f aca="false">IF(AND(DATE($O$3,$P$3,$Q$3)&lt;=$B32, $B32&lt;=DATE($O$4,$P$4,$Q$4)), IF(AND(H33=0, $A32 &gt; 0), 0, 1), IF(AND(H33&lt;&gt;0, $A32 &gt; 0), 1, 0))</f>
        <v>0</v>
      </c>
      <c r="I32" s="17" t="n">
        <f aca="false">IF(OR($H33&lt;&gt;0,$H32=0), 0, 1)</f>
        <v>0</v>
      </c>
      <c r="J32" s="17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7.25" hidden="false" customHeight="false" outlineLevel="0" collapsed="false">
      <c r="A33" s="15" t="n">
        <v>1538101.02362322</v>
      </c>
      <c r="B33" s="16" t="n">
        <f aca="false">DATE(2022,9,30)</f>
        <v>44834</v>
      </c>
      <c r="H33" s="17" t="n">
        <f aca="false">IF(AND(DATE($O$3,$P$3,$Q$3)&lt;=$B33, $B33&lt;=DATE($O$4,$P$4,$Q$4)), IF(AND(H34=0, $A33 &gt; 0), 0, 1), IF(AND(H34&lt;&gt;0, $A33 &gt; 0), 1, 0))</f>
        <v>0</v>
      </c>
      <c r="I33" s="17" t="n">
        <f aca="false">IF(OR($H34&lt;&gt;0,$H33=0), 0, 1)</f>
        <v>0</v>
      </c>
      <c r="J33" s="17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7.25" hidden="false" customHeight="false" outlineLevel="0" collapsed="false">
      <c r="A34" s="15" t="n">
        <v>-1572346.16399166</v>
      </c>
      <c r="B34" s="16" t="n">
        <f aca="false">DATE(2022,12,31)</f>
        <v>44926</v>
      </c>
      <c r="H34" s="17" t="n">
        <f aca="false">IF(AND(DATE($O$3,$P$3,$Q$3)&lt;=$B34, $B34&lt;=DATE($O$4,$P$4,$Q$4)), IF(AND(H35=0, $A34 &gt; 0), 0, 1), IF(AND(H35&lt;&gt;0, $A34 &gt; 0), 1, 0))</f>
        <v>0</v>
      </c>
      <c r="I34" s="17" t="n">
        <f aca="false">IF(OR($H35&lt;&gt;0,$H34=0), 0, 1)</f>
        <v>0</v>
      </c>
      <c r="J34" s="17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7.25" hidden="false" customHeight="false" outlineLevel="0" collapsed="false">
      <c r="A35" s="15" t="n">
        <v>1572346.16399166</v>
      </c>
      <c r="B35" s="16" t="n">
        <f aca="false">DATE(2022,12,31)</f>
        <v>44926</v>
      </c>
      <c r="H35" s="17" t="n">
        <f aca="false">IF(AND(DATE($O$3,$P$3,$Q$3)&lt;=$B35, $B35&lt;=DATE($O$4,$P$4,$Q$4)), IF(AND(H36=0, $A35 &gt; 0), 0, 1), IF(AND(H36&lt;&gt;0, $A35 &gt; 0), 1, 0))</f>
        <v>0</v>
      </c>
      <c r="I35" s="17" t="n">
        <f aca="false">IF(OR($H36&lt;&gt;0,$H35=0), 0, 1)</f>
        <v>0</v>
      </c>
      <c r="J35" s="17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7.25" hidden="false" customHeight="false" outlineLevel="0" collapsed="false">
      <c r="A36" s="15" t="n">
        <v>-1643682.50489854</v>
      </c>
      <c r="B36" s="16" t="n">
        <f aca="false">DATE(2023,3,31)</f>
        <v>45016</v>
      </c>
      <c r="H36" s="17" t="n">
        <f aca="false">IF(AND(DATE($O$3,$P$3,$Q$3)&lt;=$B36, $B36&lt;=DATE($O$4,$P$4,$Q$4)), IF(AND(H37=0, $A36 &gt; 0), 0, 1), IF(AND(H37&lt;&gt;0, $A36 &gt; 0), 1, 0))</f>
        <v>0</v>
      </c>
      <c r="I36" s="17" t="n">
        <f aca="false">IF(OR($H37&lt;&gt;0,$H36=0), 0, 1)</f>
        <v>0</v>
      </c>
      <c r="J36" s="17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7.25" hidden="false" customHeight="false" outlineLevel="0" collapsed="false">
      <c r="A37" s="15" t="n">
        <v>1643682.50489854</v>
      </c>
      <c r="B37" s="16" t="n">
        <f aca="false">DATE(2023,3,31)</f>
        <v>45016</v>
      </c>
      <c r="H37" s="17" t="n">
        <f aca="false">IF(AND(DATE($O$3,$P$3,$Q$3)&lt;=$B37, $B37&lt;=DATE($O$4,$P$4,$Q$4)), IF(AND(H38=0, $A37 &gt; 0), 0, 1), IF(AND(H38&lt;&gt;0, $A37 &gt; 0), 1, 0))</f>
        <v>0</v>
      </c>
      <c r="I37" s="17" t="n">
        <f aca="false">IF(OR($H38&lt;&gt;0,$H37=0), 0, 1)</f>
        <v>0</v>
      </c>
      <c r="J37" s="17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</v>
      </c>
    </row>
    <row r="38" customFormat="false" ht="17.25" hidden="false" customHeight="false" outlineLevel="0" collapsed="false">
      <c r="A38" s="15" t="n">
        <v>-1677725.18656138</v>
      </c>
      <c r="B38" s="16" t="n">
        <f aca="false">DATE(2023,6,30)</f>
        <v>45107</v>
      </c>
      <c r="H38" s="17" t="n">
        <f aca="false">IF(AND(DATE($O$3,$P$3,$Q$3)&lt;=$B38, $B38&lt;=DATE($O$4,$P$4,$Q$4)), IF(AND(H39=0, $A38 &gt; 0), 0, 1), IF(AND(H39&lt;&gt;0, $A38 &gt; 0), 1, 0))</f>
        <v>0</v>
      </c>
      <c r="I38" s="17" t="n">
        <f aca="false">IF(OR($H39&lt;&gt;0,$H38=0), 0, 1)</f>
        <v>0</v>
      </c>
      <c r="J38" s="17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7.25" hidden="false" customHeight="false" outlineLevel="0" collapsed="false">
      <c r="A39" s="15" t="n">
        <v>1677725.18656138</v>
      </c>
      <c r="B39" s="16" t="n">
        <f aca="false">DATE(2023,6,30)</f>
        <v>45107</v>
      </c>
      <c r="H39" s="17" t="n">
        <f aca="false">IF(AND(DATE($O$3,$P$3,$Q$3)&lt;=$B39, $B39&lt;=DATE($O$4,$P$4,$Q$4)), IF(AND(H40=0, $A39 &gt; 0), 0, 1), IF(AND(H40&lt;&gt;0, $A39 &gt; 0), 1, 0))</f>
        <v>0</v>
      </c>
      <c r="I39" s="17" t="n">
        <f aca="false">IF(OR($H40&lt;&gt;0,$H39=0), 0, 1)</f>
        <v>0</v>
      </c>
      <c r="J39" s="17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7.25" hidden="false" customHeight="false" outlineLevel="0" collapsed="false">
      <c r="A40" s="15" t="n">
        <v>-1621284.88179326</v>
      </c>
      <c r="B40" s="16" t="n">
        <f aca="false">DATE(2023,9,30)</f>
        <v>45199</v>
      </c>
      <c r="H40" s="17" t="n">
        <f aca="false">IF(AND(DATE($O$3,$P$3,$Q$3)&lt;=$B40, $B40&lt;=DATE($O$4,$P$4,$Q$4)), IF(AND(H41=0, $A40 &gt; 0), 0, 1), IF(AND(H41&lt;&gt;0, $A40 &gt; 0), 1, 0))</f>
        <v>0</v>
      </c>
      <c r="I40" s="17" t="n">
        <f aca="false">IF(OR($H41&lt;&gt;0,$H40=0), 0, 1)</f>
        <v>0</v>
      </c>
      <c r="J40" s="17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7.25" hidden="false" customHeight="false" outlineLevel="0" collapsed="false">
      <c r="A41" s="15" t="n">
        <v>1621284.88179326</v>
      </c>
      <c r="B41" s="16" t="n">
        <f aca="false">DATE(2023,9,30)</f>
        <v>45199</v>
      </c>
      <c r="H41" s="17" t="n">
        <f aca="false">IF(AND(DATE($O$3,$P$3,$Q$3)&lt;=$B41, $B41&lt;=DATE($O$4,$P$4,$Q$4)), IF(AND(H42=0, $A41 &gt; 0), 0, 1), IF(AND(H42&lt;&gt;0, $A41 &gt; 0), 1, 0))</f>
        <v>0</v>
      </c>
      <c r="I41" s="17" t="n">
        <f aca="false">IF(OR($H42&lt;&gt;0,$H41=0), 0, 1)</f>
        <v>0</v>
      </c>
      <c r="J41" s="17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7.25" hidden="false" customHeight="false" outlineLevel="0" collapsed="false">
      <c r="A42" s="15" t="n">
        <v>-1786989.27293728</v>
      </c>
      <c r="B42" s="16" t="n">
        <f aca="false">DATE(2023,12,31)</f>
        <v>45291</v>
      </c>
      <c r="H42" s="17" t="n">
        <f aca="false">IF(AND(DATE($O$3,$P$3,$Q$3)&lt;=$B42, $B42&lt;=DATE($O$4,$P$4,$Q$4)), IF(AND(H43=0, $A42 &gt; 0), 0, 1), IF(AND(H43&lt;&gt;0, $A42 &gt; 0), 1, 0))</f>
        <v>0</v>
      </c>
      <c r="I42" s="17" t="n">
        <f aca="false">IF(OR($H43&lt;&gt;0,$H42=0), 0, 1)</f>
        <v>0</v>
      </c>
      <c r="J42" s="17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7.25" hidden="false" customHeight="false" outlineLevel="0" collapsed="false">
      <c r="A43" s="15" t="n">
        <v>1786989.27293728</v>
      </c>
      <c r="B43" s="16" t="n">
        <f aca="false">DATE(2023,12,31)</f>
        <v>45291</v>
      </c>
      <c r="H43" s="17" t="n">
        <f aca="false">IF(AND(DATE($O$3,$P$3,$Q$3)&lt;=$B43, $B43&lt;=DATE($O$4,$P$4,$Q$4)), IF(AND(H44=0, $A43 &gt; 0), 0, 1), IF(AND(H44&lt;&gt;0, $A43 &gt; 0), 1, 0))</f>
        <v>0</v>
      </c>
      <c r="I43" s="17" t="n">
        <f aca="false">IF(OR($H44&lt;&gt;0,$H43=0), 0, 1)</f>
        <v>0</v>
      </c>
      <c r="J43" s="17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7.25" hidden="false" customHeight="false" outlineLevel="0" collapsed="false">
      <c r="A44" s="15" t="n">
        <v>-2000000</v>
      </c>
      <c r="B44" s="16" t="n">
        <f aca="false">DATE(2024,3,31)</f>
        <v>45382</v>
      </c>
      <c r="H44" s="17" t="n">
        <f aca="false">IF(AND(DATE($O$3,$P$3,$Q$3)&lt;=$B44, $B44&lt;=DATE($O$4,$P$4,$Q$4)), IF(AND(H45=0, $A44 &gt; 0), 0, 1), IF(AND(H45&lt;&gt;0, $A44 &gt; 0), 1, 0))</f>
        <v>0</v>
      </c>
      <c r="I44" s="17" t="n">
        <f aca="false">IF(OR($H45&lt;&gt;0,$H44=0), 0, 1)</f>
        <v>0</v>
      </c>
      <c r="J44" s="17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  <row r="45" customFormat="false" ht="16.5" hidden="false" customHeight="false" outlineLevel="0" collapsed="false">
      <c r="A45" s="15"/>
      <c r="B45" s="16" t="n">
        <f aca="false">DATE(2024,3,31)</f>
        <v>45382</v>
      </c>
    </row>
    <row r="46" customFormat="false" ht="16.5" hidden="false" customHeight="false" outlineLevel="0" collapsed="false">
      <c r="A46" s="15"/>
    </row>
    <row r="47" customFormat="false" ht="16.5" hidden="false" customHeight="false" outlineLevel="0" collapsed="false">
      <c r="A47" s="15"/>
    </row>
    <row r="48" customFormat="false" ht="16.5" hidden="false" customHeight="false" outlineLevel="0" collapsed="false">
      <c r="A48" s="1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114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A1" activeCellId="0" sqref="A1"/>
    </sheetView>
  </sheetViews>
  <sheetFormatPr defaultColWidth="9.18359375" defaultRowHeight="16.5" zeroHeight="false" outlineLevelRow="0" outlineLevelCol="0"/>
  <cols>
    <col collapsed="false" customWidth="true" hidden="false" outlineLevel="0" max="1" min="1" style="1" width="28"/>
    <col collapsed="false" customWidth="true" hidden="false" outlineLevel="0" max="2" min="2" style="1" width="16.73"/>
    <col collapsed="false" customWidth="true" hidden="false" outlineLevel="0" max="3" min="3" style="1" width="18.73"/>
    <col collapsed="false" customWidth="true" hidden="false" outlineLevel="0" max="4" min="4" style="1" width="10.73"/>
    <col collapsed="false" customWidth="true" hidden="false" outlineLevel="0" max="5" min="5" style="1" width="14.73"/>
    <col collapsed="false" customWidth="true" hidden="false" outlineLevel="0" max="6" min="6" style="11" width="23.54"/>
    <col collapsed="false" customWidth="false" hidden="false" outlineLevel="0" max="7" min="7" style="1" width="9.18"/>
    <col collapsed="false" customWidth="true" hidden="false" outlineLevel="0" max="8" min="8" style="1" width="16.54"/>
    <col collapsed="false" customWidth="true" hidden="false" outlineLevel="0" max="9" min="9" style="1" width="14.73"/>
    <col collapsed="false" customWidth="true" hidden="false" outlineLevel="0" max="10" min="10" style="1" width="13.73"/>
    <col collapsed="false" customWidth="false" hidden="false" outlineLevel="0" max="16384" min="11" style="1" width="9.18"/>
  </cols>
  <sheetData>
    <row r="1" customFormat="false" ht="16.5" hidden="false" customHeight="false" outlineLevel="0" collapsed="false">
      <c r="A1" s="12" t="s">
        <v>34</v>
      </c>
      <c r="B1" s="13" t="s">
        <v>35</v>
      </c>
      <c r="C1" s="13"/>
      <c r="D1" s="14"/>
      <c r="E1" s="14"/>
    </row>
    <row r="2" customFormat="false" ht="16.5" hidden="false" customHeight="false" outlineLevel="0" collapsed="false">
      <c r="E2" s="11"/>
      <c r="M2" s="2" t="s">
        <v>26</v>
      </c>
      <c r="O2" s="2" t="s">
        <v>1</v>
      </c>
      <c r="P2" s="2" t="s">
        <v>2</v>
      </c>
      <c r="Q2" s="2" t="s">
        <v>3</v>
      </c>
    </row>
    <row r="3" customFormat="false" ht="17.25" hidden="false" customHeight="false" outlineLevel="0" collapsed="false">
      <c r="A3" s="15" t="n">
        <v>1000000</v>
      </c>
      <c r="B3" s="16" t="n">
        <f aca="false">DATE(2021,12,31)</f>
        <v>44561</v>
      </c>
      <c r="C3" s="1" t="s">
        <v>27</v>
      </c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N3" s="1" t="s">
        <v>28</v>
      </c>
      <c r="O3" s="1" t="n">
        <f aca="false">HUB!G40</f>
        <v>2031</v>
      </c>
      <c r="P3" s="1" t="n">
        <f aca="false">HUB!H40</f>
        <v>1</v>
      </c>
      <c r="Q3" s="1" t="n">
        <f aca="false">HUB!I40</f>
        <v>1</v>
      </c>
    </row>
    <row r="4" customFormat="false" ht="17.25" hidden="false" customHeight="false" outlineLevel="0" collapsed="false">
      <c r="A4" s="15" t="n">
        <v>-960736.72193756</v>
      </c>
      <c r="B4" s="16" t="n">
        <f aca="false">DATE(2022,3,31)</f>
        <v>44651</v>
      </c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N4" s="1" t="s">
        <v>29</v>
      </c>
      <c r="O4" s="1" t="n">
        <f aca="false">HUB!G41</f>
        <v>2031</v>
      </c>
      <c r="P4" s="1" t="n">
        <f aca="false">HUB!H41</f>
        <v>12</v>
      </c>
      <c r="Q4" s="1" t="n">
        <f aca="false">HUB!I41</f>
        <v>31</v>
      </c>
    </row>
    <row r="5" customFormat="false" ht="17.25" hidden="false" customHeight="false" outlineLevel="0" collapsed="false">
      <c r="A5" s="15" t="n">
        <v>960736.72193756</v>
      </c>
      <c r="B5" s="16" t="n">
        <f aca="false">DATE(2022,3,31)</f>
        <v>44651</v>
      </c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N5" s="1" t="s">
        <v>31</v>
      </c>
      <c r="O5" s="19" t="n">
        <f aca="false">SUM(J:J)</f>
        <v>0</v>
      </c>
    </row>
    <row r="6" customFormat="false" ht="17.25" hidden="false" customHeight="false" outlineLevel="0" collapsed="false">
      <c r="A6" s="15" t="n">
        <v>-807421.87959756</v>
      </c>
      <c r="B6" s="16" t="n">
        <f aca="false">DATE(2022,6,30)</f>
        <v>44742</v>
      </c>
      <c r="E6" s="20" t="s">
        <v>5</v>
      </c>
      <c r="F6" s="21" t="n">
        <v>0.0335859656086213</v>
      </c>
      <c r="G6" s="21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</row>
    <row r="7" customFormat="false" ht="17.25" hidden="false" customHeight="false" outlineLevel="0" collapsed="false">
      <c r="A7" s="15" t="n">
        <v>807421.87959756</v>
      </c>
      <c r="B7" s="16" t="n">
        <f aca="false">DATE(2022,6,30)</f>
        <v>44742</v>
      </c>
      <c r="E7" s="20" t="s">
        <v>6</v>
      </c>
      <c r="F7" s="21" t="n">
        <v>0.0335859656086213</v>
      </c>
      <c r="G7" s="21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O7" s="2"/>
      <c r="P7" s="2"/>
      <c r="Q7" s="2"/>
    </row>
    <row r="8" customFormat="false" ht="17.25" hidden="false" customHeight="false" outlineLevel="0" collapsed="false">
      <c r="A8" s="15" t="n">
        <v>-823069.60172465</v>
      </c>
      <c r="B8" s="16" t="n">
        <f aca="false">DATE(2022,9,30)</f>
        <v>44834</v>
      </c>
      <c r="E8" s="20" t="s">
        <v>7</v>
      </c>
      <c r="F8" s="21" t="n">
        <v>0.151789218187332</v>
      </c>
      <c r="G8" s="21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M8" s="2"/>
    </row>
    <row r="9" customFormat="false" ht="17.25" hidden="false" customHeight="false" outlineLevel="0" collapsed="false">
      <c r="A9" s="15" t="n">
        <v>823069.60172465</v>
      </c>
      <c r="B9" s="16" t="n">
        <f aca="false">DATE(2022,9,30)</f>
        <v>44834</v>
      </c>
      <c r="E9" s="20" t="s">
        <v>8</v>
      </c>
      <c r="F9" s="21" t="n">
        <v>0.0432835310697556</v>
      </c>
      <c r="G9" s="21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</row>
    <row r="10" customFormat="false" ht="17.25" hidden="false" customHeight="false" outlineLevel="0" collapsed="false">
      <c r="A10" s="15" t="n">
        <v>-910170.066936</v>
      </c>
      <c r="B10" s="16" t="n">
        <f aca="false">DATE(2022,12,31)</f>
        <v>44926</v>
      </c>
      <c r="E10" s="20" t="s">
        <v>9</v>
      </c>
      <c r="F10" s="21" t="n">
        <v>0.0432835310697556</v>
      </c>
      <c r="G10" s="21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</row>
    <row r="11" customFormat="false" ht="17.25" hidden="false" customHeight="false" outlineLevel="0" collapsed="false">
      <c r="A11" s="15" t="n">
        <v>910170.066936</v>
      </c>
      <c r="B11" s="16" t="n">
        <f aca="false">DATE(2022,12,31)</f>
        <v>44926</v>
      </c>
      <c r="E11" s="20" t="s">
        <v>10</v>
      </c>
      <c r="F11" s="21" t="n">
        <v>0.0432835310697556</v>
      </c>
      <c r="G11" s="21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</row>
    <row r="12" customFormat="false" ht="17.25" hidden="false" customHeight="false" outlineLevel="0" collapsed="false">
      <c r="A12" s="15" t="n">
        <v>-954666.1707545</v>
      </c>
      <c r="B12" s="16" t="n">
        <f aca="false">DATE(2023,3,31)</f>
        <v>45016</v>
      </c>
      <c r="E12" s="20" t="s">
        <v>11</v>
      </c>
      <c r="F12" s="21" t="n">
        <v>0.0432835310697556</v>
      </c>
      <c r="G12" s="21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</row>
    <row r="13" customFormat="false" ht="17.25" hidden="false" customHeight="false" outlineLevel="0" collapsed="false">
      <c r="A13" s="15" t="n">
        <v>954666.1707545</v>
      </c>
      <c r="B13" s="16" t="n">
        <f aca="false">DATE(2023,3,31)</f>
        <v>45016</v>
      </c>
      <c r="E13" s="20" t="n">
        <v>2019</v>
      </c>
      <c r="F13" s="21" t="n">
        <v>0</v>
      </c>
      <c r="G13" s="21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</row>
    <row r="14" customFormat="false" ht="17.25" hidden="false" customHeight="false" outlineLevel="0" collapsed="false">
      <c r="A14" s="15" t="n">
        <v>-973102.3019345</v>
      </c>
      <c r="B14" s="16" t="n">
        <f aca="false">DATE(2023,6,30)</f>
        <v>45107</v>
      </c>
      <c r="E14" s="20" t="n">
        <v>2020</v>
      </c>
      <c r="F14" s="21" t="n">
        <v>0</v>
      </c>
      <c r="G14" s="21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</row>
    <row r="15" customFormat="false" ht="17.25" hidden="false" customHeight="false" outlineLevel="0" collapsed="false">
      <c r="A15" s="15" t="n">
        <v>973102.3019345</v>
      </c>
      <c r="B15" s="16" t="n">
        <f aca="false">DATE(2023,6,30)</f>
        <v>45107</v>
      </c>
      <c r="E15" s="20" t="n">
        <v>2021</v>
      </c>
      <c r="F15" s="21" t="n">
        <v>0</v>
      </c>
      <c r="G15" s="21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</row>
    <row r="16" customFormat="false" ht="17.25" hidden="false" customHeight="false" outlineLevel="0" collapsed="false">
      <c r="A16" s="15" t="n">
        <v>-971912.37326757</v>
      </c>
      <c r="B16" s="16" t="n">
        <f aca="false">DATE(2023,9,30)</f>
        <v>45199</v>
      </c>
      <c r="E16" s="20" t="n">
        <v>2022</v>
      </c>
      <c r="F16" s="21" t="n">
        <v>-0.0898299306631088</v>
      </c>
      <c r="G16" s="21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</row>
    <row r="17" customFormat="false" ht="17.25" hidden="false" customHeight="false" outlineLevel="0" collapsed="false">
      <c r="A17" s="15" t="n">
        <v>971912.37326757</v>
      </c>
      <c r="B17" s="16" t="n">
        <f aca="false">DATE(2023,9,30)</f>
        <v>45199</v>
      </c>
      <c r="E17" s="20" t="n">
        <v>2023</v>
      </c>
      <c r="F17" s="21" t="n">
        <v>0.169293493032455</v>
      </c>
      <c r="G17" s="21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</row>
    <row r="18" customFormat="false" ht="17.25" hidden="false" customHeight="false" outlineLevel="0" collapsed="false">
      <c r="A18" s="15" t="n">
        <v>-1064255.936208</v>
      </c>
      <c r="B18" s="16" t="n">
        <f aca="false">DATE(2023,12,31)</f>
        <v>45291</v>
      </c>
      <c r="E18" s="20" t="n">
        <v>2024</v>
      </c>
      <c r="F18" s="21" t="n">
        <v>0.0335859656086213</v>
      </c>
      <c r="G18" s="21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</row>
    <row r="19" customFormat="false" ht="17.25" hidden="false" customHeight="false" outlineLevel="0" collapsed="false">
      <c r="A19" s="15" t="n">
        <v>1064255.936208</v>
      </c>
      <c r="B19" s="16" t="n">
        <f aca="false">DATE(2023,12,31)</f>
        <v>45291</v>
      </c>
      <c r="E19" s="20" t="n">
        <v>2025</v>
      </c>
      <c r="F19" s="23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</row>
    <row r="20" customFormat="false" ht="17.25" hidden="false" customHeight="false" outlineLevel="0" collapsed="false">
      <c r="A20" s="15" t="n">
        <v>-1100000</v>
      </c>
      <c r="B20" s="16" t="n">
        <f aca="false">DATE(2024,3,31)</f>
        <v>45382</v>
      </c>
      <c r="E20" s="20" t="n">
        <v>2026</v>
      </c>
      <c r="F20" s="23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</row>
    <row r="21" customFormat="false" ht="17.25" hidden="false" customHeight="false" outlineLevel="0" collapsed="false">
      <c r="A21" s="15"/>
      <c r="B21" s="16" t="n">
        <f aca="false">DATE(2024,3,31)</f>
        <v>45382</v>
      </c>
      <c r="E21" s="20" t="n">
        <v>2027</v>
      </c>
      <c r="F21" s="23" t="n">
        <v>0</v>
      </c>
      <c r="G21" s="17"/>
      <c r="H21" s="17"/>
      <c r="I21" s="17"/>
      <c r="J21" s="17"/>
    </row>
    <row r="22" customFormat="false" ht="17.25" hidden="false" customHeight="false" outlineLevel="0" collapsed="false">
      <c r="A22" s="15"/>
      <c r="B22" s="16"/>
      <c r="E22" s="20" t="n">
        <v>2028</v>
      </c>
      <c r="F22" s="23" t="n">
        <v>0</v>
      </c>
      <c r="G22" s="17"/>
      <c r="H22" s="17"/>
      <c r="I22" s="17"/>
      <c r="J22" s="17"/>
    </row>
    <row r="23" customFormat="false" ht="17.25" hidden="false" customHeight="false" outlineLevel="0" collapsed="false">
      <c r="A23" s="15"/>
      <c r="B23" s="16"/>
      <c r="E23" s="20" t="n">
        <v>2029</v>
      </c>
      <c r="F23" s="23" t="n">
        <v>0</v>
      </c>
      <c r="G23" s="17"/>
      <c r="H23" s="17"/>
      <c r="I23" s="17"/>
      <c r="J23" s="17"/>
    </row>
    <row r="24" customFormat="false" ht="17.25" hidden="false" customHeight="false" outlineLevel="0" collapsed="false">
      <c r="A24" s="15"/>
      <c r="B24" s="16"/>
      <c r="E24" s="20" t="n">
        <v>2030</v>
      </c>
      <c r="F24" s="23" t="n">
        <v>0</v>
      </c>
      <c r="G24" s="17"/>
      <c r="H24" s="17"/>
      <c r="I24" s="17"/>
      <c r="J24" s="17"/>
    </row>
    <row r="25" customFormat="false" ht="17.25" hidden="false" customHeight="false" outlineLevel="0" collapsed="false">
      <c r="A25" s="15"/>
      <c r="B25" s="16"/>
      <c r="E25" s="20" t="n">
        <v>2031</v>
      </c>
      <c r="F25" s="23" t="n">
        <v>0</v>
      </c>
      <c r="G25" s="17"/>
      <c r="H25" s="17"/>
      <c r="I25" s="17"/>
      <c r="J25" s="17"/>
    </row>
    <row r="26" customFormat="false" ht="17.25" hidden="false" customHeight="false" outlineLevel="0" collapsed="false">
      <c r="A26" s="15"/>
      <c r="B26" s="16"/>
      <c r="G26" s="17"/>
      <c r="H26" s="17"/>
      <c r="I26" s="17"/>
      <c r="J26" s="17"/>
    </row>
    <row r="27" customFormat="false" ht="17.25" hidden="false" customHeight="false" outlineLevel="0" collapsed="false">
      <c r="A27" s="15"/>
      <c r="B27" s="16"/>
      <c r="C27" s="26"/>
      <c r="G27" s="17"/>
      <c r="H27" s="17"/>
      <c r="I27" s="17"/>
      <c r="J27" s="17"/>
    </row>
    <row r="28" customFormat="false" ht="17.25" hidden="false" customHeight="false" outlineLevel="0" collapsed="false">
      <c r="A28" s="15"/>
      <c r="B28" s="16"/>
      <c r="G28" s="17"/>
      <c r="H28" s="17"/>
      <c r="I28" s="17"/>
      <c r="J28" s="17"/>
    </row>
    <row r="29" customFormat="false" ht="17.25" hidden="false" customHeight="false" outlineLevel="0" collapsed="false">
      <c r="A29" s="15"/>
      <c r="B29" s="16"/>
      <c r="D29" s="17"/>
      <c r="E29" s="17"/>
      <c r="F29" s="25"/>
      <c r="G29" s="17"/>
      <c r="H29" s="17"/>
      <c r="I29" s="17"/>
      <c r="J29" s="17"/>
    </row>
    <row r="30" customFormat="false" ht="17.25" hidden="false" customHeight="false" outlineLevel="0" collapsed="false">
      <c r="A30" s="15"/>
      <c r="B30" s="16"/>
      <c r="D30" s="17"/>
      <c r="E30" s="17"/>
      <c r="F30" s="25"/>
      <c r="G30" s="17"/>
      <c r="H30" s="17"/>
      <c r="I30" s="17"/>
      <c r="J30" s="17"/>
    </row>
    <row r="31" customFormat="false" ht="17.25" hidden="false" customHeight="false" outlineLevel="0" collapsed="false">
      <c r="A31" s="15"/>
      <c r="B31" s="16"/>
      <c r="E31" s="1" t="s">
        <v>36</v>
      </c>
      <c r="H31" s="17"/>
      <c r="I31" s="17"/>
      <c r="J31" s="17"/>
    </row>
    <row r="32" customFormat="false" ht="17.25" hidden="false" customHeight="false" outlineLevel="0" collapsed="false">
      <c r="A32" s="15"/>
      <c r="B32" s="16"/>
      <c r="H32" s="17"/>
      <c r="I32" s="17"/>
      <c r="J32" s="17"/>
    </row>
    <row r="33" customFormat="false" ht="17.25" hidden="false" customHeight="false" outlineLevel="0" collapsed="false">
      <c r="A33" s="15"/>
      <c r="B33" s="16"/>
      <c r="H33" s="17"/>
      <c r="I33" s="17"/>
      <c r="J33" s="17"/>
    </row>
    <row r="34" customFormat="false" ht="17.25" hidden="false" customHeight="false" outlineLevel="0" collapsed="false">
      <c r="A34" s="15"/>
      <c r="B34" s="16"/>
      <c r="H34" s="17"/>
      <c r="I34" s="17"/>
      <c r="J34" s="17"/>
    </row>
    <row r="35" customFormat="false" ht="17.25" hidden="false" customHeight="false" outlineLevel="0" collapsed="false">
      <c r="A35" s="15"/>
      <c r="B35" s="16"/>
      <c r="H35" s="17"/>
      <c r="I35" s="17"/>
      <c r="J35" s="17"/>
    </row>
    <row r="36" customFormat="false" ht="17.25" hidden="false" customHeight="false" outlineLevel="0" collapsed="false">
      <c r="A36" s="15"/>
      <c r="B36" s="16"/>
      <c r="H36" s="17"/>
      <c r="I36" s="17"/>
      <c r="J36" s="17"/>
    </row>
    <row r="37" customFormat="false" ht="17.25" hidden="false" customHeight="false" outlineLevel="0" collapsed="false">
      <c r="A37" s="15"/>
      <c r="B37" s="16"/>
      <c r="H37" s="17"/>
      <c r="I37" s="17"/>
      <c r="J37" s="17"/>
    </row>
    <row r="38" customFormat="false" ht="17.25" hidden="false" customHeight="false" outlineLevel="0" collapsed="false">
      <c r="A38" s="15"/>
      <c r="B38" s="16"/>
      <c r="H38" s="17"/>
      <c r="I38" s="17"/>
      <c r="J38" s="17"/>
    </row>
    <row r="39" customFormat="false" ht="17.25" hidden="false" customHeight="false" outlineLevel="0" collapsed="false">
      <c r="A39" s="15"/>
      <c r="B39" s="16"/>
      <c r="H39" s="17"/>
      <c r="I39" s="17"/>
      <c r="J39" s="17"/>
    </row>
    <row r="40" customFormat="false" ht="17.25" hidden="false" customHeight="false" outlineLevel="0" collapsed="false">
      <c r="A40" s="15"/>
      <c r="B40" s="16"/>
      <c r="H40" s="17"/>
      <c r="I40" s="17"/>
      <c r="J40" s="17"/>
    </row>
    <row r="41" customFormat="false" ht="17.25" hidden="false" customHeight="false" outlineLevel="0" collapsed="false">
      <c r="A41" s="15"/>
      <c r="B41" s="16"/>
      <c r="H41" s="17"/>
      <c r="I41" s="17"/>
      <c r="J41" s="17"/>
    </row>
    <row r="42" customFormat="false" ht="17.25" hidden="false" customHeight="false" outlineLevel="0" collapsed="false">
      <c r="A42" s="15"/>
      <c r="B42" s="16"/>
      <c r="H42" s="17"/>
      <c r="I42" s="17"/>
      <c r="J42" s="17"/>
    </row>
    <row r="43" customFormat="false" ht="17.25" hidden="false" customHeight="false" outlineLevel="0" collapsed="false">
      <c r="A43" s="15"/>
      <c r="B43" s="16"/>
      <c r="H43" s="17"/>
      <c r="I43" s="17"/>
      <c r="J43" s="17"/>
    </row>
    <row r="44" customFormat="false" ht="17.25" hidden="false" customHeight="false" outlineLevel="0" collapsed="false">
      <c r="A44" s="15"/>
      <c r="B44" s="16"/>
      <c r="H44" s="17"/>
      <c r="I44" s="17"/>
      <c r="J44" s="17"/>
    </row>
    <row r="45" customFormat="false" ht="17.25" hidden="false" customHeight="false" outlineLevel="0" collapsed="false">
      <c r="A45" s="15"/>
      <c r="B45" s="16"/>
      <c r="H45" s="17"/>
      <c r="I45" s="17"/>
      <c r="J45" s="17"/>
    </row>
    <row r="46" customFormat="false" ht="17.25" hidden="false" customHeight="false" outlineLevel="0" collapsed="false">
      <c r="A46" s="15"/>
      <c r="B46" s="16"/>
      <c r="H46" s="17"/>
      <c r="I46" s="17"/>
      <c r="J46" s="17"/>
    </row>
    <row r="47" customFormat="false" ht="17.25" hidden="false" customHeight="false" outlineLevel="0" collapsed="false">
      <c r="A47" s="15"/>
      <c r="B47" s="16"/>
      <c r="H47" s="17"/>
      <c r="I47" s="17"/>
      <c r="J47" s="17"/>
    </row>
    <row r="48" customFormat="false" ht="17.25" hidden="false" customHeight="false" outlineLevel="0" collapsed="false">
      <c r="A48" s="15"/>
      <c r="B48" s="16"/>
      <c r="H48" s="17"/>
      <c r="I48" s="17"/>
      <c r="J48" s="17"/>
    </row>
    <row r="49" customFormat="false" ht="17.25" hidden="false" customHeight="false" outlineLevel="0" collapsed="false">
      <c r="A49" s="15"/>
      <c r="B49" s="16"/>
      <c r="H49" s="17"/>
      <c r="I49" s="17"/>
      <c r="J49" s="17"/>
    </row>
    <row r="50" customFormat="false" ht="17.25" hidden="false" customHeight="false" outlineLevel="0" collapsed="false">
      <c r="A50" s="15"/>
      <c r="B50" s="16"/>
      <c r="H50" s="17"/>
      <c r="I50" s="17"/>
      <c r="J50" s="17"/>
    </row>
    <row r="51" customFormat="false" ht="17.25" hidden="false" customHeight="false" outlineLevel="0" collapsed="false">
      <c r="A51" s="15"/>
      <c r="B51" s="16"/>
      <c r="H51" s="17"/>
      <c r="I51" s="17"/>
      <c r="J51" s="17"/>
    </row>
    <row r="52" customFormat="false" ht="17.25" hidden="false" customHeight="false" outlineLevel="0" collapsed="false">
      <c r="A52" s="15"/>
      <c r="B52" s="16"/>
      <c r="H52" s="17"/>
      <c r="I52" s="17"/>
      <c r="J52" s="17"/>
    </row>
    <row r="53" customFormat="false" ht="17.25" hidden="false" customHeight="false" outlineLevel="0" collapsed="false">
      <c r="A53" s="15"/>
      <c r="B53" s="16"/>
      <c r="H53" s="17"/>
      <c r="I53" s="17"/>
      <c r="J53" s="17"/>
    </row>
    <row r="54" customFormat="false" ht="17.25" hidden="false" customHeight="false" outlineLevel="0" collapsed="false">
      <c r="A54" s="15"/>
      <c r="B54" s="16"/>
      <c r="H54" s="17"/>
      <c r="I54" s="17"/>
      <c r="J54" s="17"/>
    </row>
    <row r="55" customFormat="false" ht="17.25" hidden="false" customHeight="false" outlineLevel="0" collapsed="false">
      <c r="A55" s="15"/>
      <c r="B55" s="16"/>
      <c r="H55" s="17"/>
      <c r="I55" s="17"/>
      <c r="J55" s="17"/>
    </row>
    <row r="56" customFormat="false" ht="17.25" hidden="false" customHeight="false" outlineLevel="0" collapsed="false">
      <c r="A56" s="15"/>
      <c r="B56" s="16"/>
      <c r="H56" s="17"/>
      <c r="I56" s="17"/>
      <c r="J56" s="17"/>
    </row>
    <row r="57" customFormat="false" ht="17.25" hidden="false" customHeight="false" outlineLevel="0" collapsed="false">
      <c r="A57" s="15"/>
      <c r="B57" s="16"/>
      <c r="H57" s="17"/>
      <c r="I57" s="17"/>
      <c r="J57" s="17"/>
    </row>
    <row r="58" customFormat="false" ht="17.25" hidden="false" customHeight="false" outlineLevel="0" collapsed="false">
      <c r="A58" s="15"/>
      <c r="B58" s="16"/>
      <c r="H58" s="17"/>
      <c r="I58" s="17"/>
      <c r="J58" s="17"/>
    </row>
    <row r="59" customFormat="false" ht="17.25" hidden="false" customHeight="false" outlineLevel="0" collapsed="false">
      <c r="A59" s="15"/>
      <c r="B59" s="16"/>
      <c r="H59" s="17"/>
      <c r="I59" s="17"/>
      <c r="J59" s="17"/>
    </row>
    <row r="60" customFormat="false" ht="17.25" hidden="false" customHeight="false" outlineLevel="0" collapsed="false">
      <c r="A60" s="15"/>
      <c r="B60" s="16"/>
      <c r="H60" s="17"/>
      <c r="I60" s="17"/>
      <c r="J60" s="17"/>
    </row>
    <row r="61" customFormat="false" ht="17.25" hidden="false" customHeight="false" outlineLevel="0" collapsed="false">
      <c r="A61" s="15"/>
      <c r="B61" s="16"/>
      <c r="H61" s="17"/>
      <c r="I61" s="17"/>
      <c r="J61" s="17"/>
    </row>
    <row r="62" customFormat="false" ht="17.25" hidden="false" customHeight="false" outlineLevel="0" collapsed="false">
      <c r="A62" s="15"/>
      <c r="B62" s="16"/>
      <c r="H62" s="17"/>
      <c r="I62" s="17"/>
      <c r="J62" s="17"/>
    </row>
    <row r="63" customFormat="false" ht="17.25" hidden="false" customHeight="false" outlineLevel="0" collapsed="false">
      <c r="A63" s="15"/>
      <c r="B63" s="16"/>
      <c r="H63" s="17"/>
      <c r="I63" s="17"/>
      <c r="J63" s="17"/>
    </row>
    <row r="64" customFormat="false" ht="17.25" hidden="false" customHeight="false" outlineLevel="0" collapsed="false">
      <c r="A64" s="15"/>
      <c r="B64" s="16"/>
      <c r="H64" s="17"/>
      <c r="I64" s="17"/>
      <c r="J64" s="17"/>
    </row>
    <row r="65" customFormat="false" ht="17.25" hidden="false" customHeight="false" outlineLevel="0" collapsed="false">
      <c r="A65" s="15"/>
      <c r="B65" s="16"/>
      <c r="H65" s="17"/>
      <c r="I65" s="17"/>
      <c r="J65" s="17"/>
    </row>
    <row r="66" customFormat="false" ht="17.25" hidden="false" customHeight="false" outlineLevel="0" collapsed="false">
      <c r="A66" s="15"/>
      <c r="B66" s="16"/>
      <c r="H66" s="17"/>
      <c r="I66" s="17"/>
      <c r="J66" s="17"/>
    </row>
    <row r="67" customFormat="false" ht="17.25" hidden="false" customHeight="false" outlineLevel="0" collapsed="false">
      <c r="A67" s="15"/>
      <c r="B67" s="16"/>
      <c r="H67" s="17"/>
      <c r="I67" s="17"/>
      <c r="J67" s="17"/>
    </row>
    <row r="68" customFormat="false" ht="17.25" hidden="false" customHeight="false" outlineLevel="0" collapsed="false">
      <c r="A68" s="15"/>
      <c r="B68" s="16"/>
      <c r="H68" s="17"/>
      <c r="I68" s="17"/>
      <c r="J68" s="17"/>
    </row>
    <row r="69" customFormat="false" ht="17.25" hidden="false" customHeight="false" outlineLevel="0" collapsed="false">
      <c r="A69" s="15"/>
      <c r="B69" s="16"/>
      <c r="H69" s="17"/>
      <c r="I69" s="17"/>
      <c r="J69" s="17"/>
    </row>
    <row r="70" customFormat="false" ht="17.25" hidden="false" customHeight="false" outlineLevel="0" collapsed="false">
      <c r="A70" s="15"/>
      <c r="B70" s="16"/>
      <c r="H70" s="17"/>
      <c r="I70" s="17"/>
      <c r="J70" s="17"/>
    </row>
    <row r="71" customFormat="false" ht="17.25" hidden="false" customHeight="false" outlineLevel="0" collapsed="false">
      <c r="A71" s="15"/>
      <c r="B71" s="16"/>
      <c r="H71" s="17"/>
      <c r="I71" s="17"/>
      <c r="J71" s="17"/>
    </row>
    <row r="72" customFormat="false" ht="17.25" hidden="false" customHeight="false" outlineLevel="0" collapsed="false">
      <c r="A72" s="15"/>
      <c r="B72" s="16"/>
      <c r="H72" s="17"/>
      <c r="I72" s="17"/>
      <c r="J72" s="17"/>
    </row>
    <row r="73" customFormat="false" ht="17.25" hidden="false" customHeight="false" outlineLevel="0" collapsed="false">
      <c r="A73" s="15"/>
      <c r="B73" s="16"/>
      <c r="H73" s="17"/>
      <c r="I73" s="17"/>
      <c r="J73" s="17"/>
    </row>
    <row r="74" customFormat="false" ht="17.25" hidden="false" customHeight="false" outlineLevel="0" collapsed="false">
      <c r="A74" s="15"/>
      <c r="B74" s="16"/>
      <c r="H74" s="17"/>
      <c r="I74" s="17"/>
      <c r="J74" s="17"/>
    </row>
    <row r="75" customFormat="false" ht="17.25" hidden="false" customHeight="false" outlineLevel="0" collapsed="false">
      <c r="A75" s="15"/>
      <c r="B75" s="16"/>
      <c r="H75" s="17"/>
      <c r="I75" s="17"/>
      <c r="J75" s="17"/>
    </row>
    <row r="76" customFormat="false" ht="17.25" hidden="false" customHeight="false" outlineLevel="0" collapsed="false">
      <c r="A76" s="15"/>
      <c r="B76" s="16"/>
      <c r="H76" s="17"/>
      <c r="I76" s="17"/>
      <c r="J76" s="17"/>
    </row>
    <row r="77" customFormat="false" ht="17.25" hidden="false" customHeight="false" outlineLevel="0" collapsed="false">
      <c r="A77" s="15"/>
      <c r="B77" s="16"/>
      <c r="H77" s="17"/>
      <c r="I77" s="17"/>
      <c r="J77" s="17"/>
    </row>
    <row r="78" customFormat="false" ht="17.25" hidden="false" customHeight="false" outlineLevel="0" collapsed="false">
      <c r="A78" s="15"/>
      <c r="B78" s="16"/>
      <c r="H78" s="17"/>
      <c r="I78" s="17"/>
      <c r="J78" s="17"/>
    </row>
    <row r="79" customFormat="false" ht="17.25" hidden="false" customHeight="false" outlineLevel="0" collapsed="false">
      <c r="A79" s="15"/>
      <c r="B79" s="16"/>
      <c r="H79" s="17"/>
      <c r="I79" s="17"/>
      <c r="J79" s="17"/>
    </row>
    <row r="80" customFormat="false" ht="17.25" hidden="false" customHeight="false" outlineLevel="0" collapsed="false">
      <c r="A80" s="15"/>
      <c r="B80" s="16"/>
      <c r="H80" s="17"/>
      <c r="I80" s="17"/>
      <c r="J80" s="17"/>
    </row>
    <row r="81" customFormat="false" ht="17.25" hidden="false" customHeight="false" outlineLevel="0" collapsed="false">
      <c r="A81" s="15"/>
      <c r="B81" s="16"/>
      <c r="H81" s="17"/>
      <c r="I81" s="17"/>
      <c r="J81" s="17"/>
    </row>
    <row r="82" customFormat="false" ht="17.25" hidden="false" customHeight="false" outlineLevel="0" collapsed="false">
      <c r="A82" s="15"/>
      <c r="B82" s="16"/>
      <c r="H82" s="17"/>
      <c r="I82" s="17"/>
      <c r="J82" s="17"/>
    </row>
    <row r="83" customFormat="false" ht="17.25" hidden="false" customHeight="false" outlineLevel="0" collapsed="false">
      <c r="A83" s="15"/>
      <c r="B83" s="16"/>
      <c r="H83" s="17"/>
      <c r="I83" s="17"/>
      <c r="J83" s="17"/>
    </row>
    <row r="84" customFormat="false" ht="17.25" hidden="false" customHeight="false" outlineLevel="0" collapsed="false">
      <c r="A84" s="15"/>
      <c r="B84" s="16"/>
      <c r="H84" s="17"/>
      <c r="I84" s="17"/>
      <c r="J84" s="17"/>
    </row>
    <row r="85" customFormat="false" ht="17.25" hidden="false" customHeight="false" outlineLevel="0" collapsed="false">
      <c r="A85" s="15"/>
      <c r="B85" s="16"/>
      <c r="H85" s="17"/>
      <c r="I85" s="17"/>
      <c r="J85" s="17"/>
    </row>
    <row r="86" customFormat="false" ht="17.25" hidden="false" customHeight="false" outlineLevel="0" collapsed="false">
      <c r="A86" s="15"/>
      <c r="B86" s="16"/>
      <c r="H86" s="17"/>
      <c r="I86" s="17"/>
      <c r="J86" s="17"/>
    </row>
    <row r="87" customFormat="false" ht="17.25" hidden="false" customHeight="false" outlineLevel="0" collapsed="false">
      <c r="A87" s="15"/>
      <c r="B87" s="16"/>
      <c r="H87" s="17"/>
      <c r="I87" s="17"/>
      <c r="J87" s="17"/>
    </row>
    <row r="88" customFormat="false" ht="17.25" hidden="false" customHeight="false" outlineLevel="0" collapsed="false">
      <c r="A88" s="15"/>
      <c r="B88" s="16"/>
      <c r="H88" s="17"/>
      <c r="I88" s="17"/>
      <c r="J88" s="17"/>
    </row>
    <row r="89" customFormat="false" ht="17.25" hidden="false" customHeight="false" outlineLevel="0" collapsed="false">
      <c r="A89" s="15"/>
      <c r="B89" s="16"/>
      <c r="H89" s="17"/>
      <c r="I89" s="17"/>
      <c r="J89" s="17"/>
    </row>
    <row r="90" customFormat="false" ht="17.25" hidden="false" customHeight="false" outlineLevel="0" collapsed="false">
      <c r="A90" s="15"/>
      <c r="B90" s="16"/>
      <c r="H90" s="17"/>
      <c r="I90" s="17"/>
      <c r="J90" s="17"/>
    </row>
    <row r="91" customFormat="false" ht="17.25" hidden="false" customHeight="false" outlineLevel="0" collapsed="false">
      <c r="A91" s="15"/>
      <c r="B91" s="16"/>
      <c r="H91" s="17"/>
      <c r="I91" s="17"/>
      <c r="J91" s="17"/>
    </row>
    <row r="92" customFormat="false" ht="17.25" hidden="false" customHeight="false" outlineLevel="0" collapsed="false">
      <c r="A92" s="15"/>
      <c r="B92" s="16"/>
      <c r="H92" s="17"/>
      <c r="I92" s="17"/>
      <c r="J92" s="17"/>
    </row>
    <row r="93" customFormat="false" ht="17.25" hidden="false" customHeight="false" outlineLevel="0" collapsed="false">
      <c r="A93" s="15"/>
      <c r="B93" s="16"/>
      <c r="H93" s="17"/>
      <c r="I93" s="17"/>
      <c r="J93" s="17"/>
    </row>
    <row r="94" customFormat="false" ht="17.25" hidden="false" customHeight="false" outlineLevel="0" collapsed="false">
      <c r="A94" s="15"/>
      <c r="B94" s="16"/>
      <c r="H94" s="17"/>
      <c r="I94" s="17"/>
      <c r="J94" s="17"/>
    </row>
    <row r="95" customFormat="false" ht="17.25" hidden="false" customHeight="false" outlineLevel="0" collapsed="false">
      <c r="A95" s="15"/>
      <c r="B95" s="16"/>
      <c r="H95" s="17"/>
      <c r="I95" s="17"/>
      <c r="J95" s="17"/>
    </row>
    <row r="96" customFormat="false" ht="17.25" hidden="false" customHeight="false" outlineLevel="0" collapsed="false">
      <c r="A96" s="15"/>
      <c r="B96" s="16"/>
      <c r="H96" s="17"/>
      <c r="I96" s="17"/>
      <c r="J96" s="17"/>
    </row>
    <row r="97" customFormat="false" ht="17.25" hidden="false" customHeight="false" outlineLevel="0" collapsed="false">
      <c r="A97" s="15"/>
      <c r="B97" s="16"/>
      <c r="H97" s="17"/>
      <c r="I97" s="17"/>
      <c r="J97" s="17"/>
    </row>
    <row r="98" customFormat="false" ht="17.25" hidden="false" customHeight="false" outlineLevel="0" collapsed="false">
      <c r="A98" s="15"/>
      <c r="B98" s="16"/>
      <c r="H98" s="17"/>
      <c r="I98" s="17"/>
      <c r="J98" s="17"/>
    </row>
    <row r="99" customFormat="false" ht="17.25" hidden="false" customHeight="false" outlineLevel="0" collapsed="false">
      <c r="A99" s="15"/>
      <c r="B99" s="16"/>
      <c r="H99" s="17"/>
      <c r="I99" s="17"/>
      <c r="J99" s="17"/>
    </row>
    <row r="100" customFormat="false" ht="17.25" hidden="false" customHeight="false" outlineLevel="0" collapsed="false">
      <c r="A100" s="15"/>
      <c r="B100" s="16"/>
      <c r="H100" s="17"/>
      <c r="I100" s="17"/>
      <c r="J100" s="17"/>
    </row>
    <row r="101" customFormat="false" ht="17.25" hidden="false" customHeight="false" outlineLevel="0" collapsed="false">
      <c r="A101" s="15"/>
      <c r="B101" s="16"/>
      <c r="H101" s="17"/>
      <c r="I101" s="17"/>
      <c r="J101" s="17"/>
    </row>
    <row r="102" customFormat="false" ht="17.25" hidden="false" customHeight="false" outlineLevel="0" collapsed="false">
      <c r="A102" s="15"/>
      <c r="B102" s="16"/>
      <c r="H102" s="17"/>
      <c r="I102" s="17"/>
      <c r="J102" s="17"/>
    </row>
    <row r="103" customFormat="false" ht="17.25" hidden="false" customHeight="false" outlineLevel="0" collapsed="false">
      <c r="A103" s="15"/>
      <c r="B103" s="16"/>
      <c r="H103" s="17"/>
      <c r="I103" s="17"/>
      <c r="J103" s="17"/>
    </row>
    <row r="104" customFormat="false" ht="17.25" hidden="false" customHeight="false" outlineLevel="0" collapsed="false">
      <c r="A104" s="15"/>
      <c r="B104" s="16"/>
      <c r="H104" s="17"/>
      <c r="I104" s="17"/>
      <c r="J104" s="17"/>
    </row>
    <row r="105" customFormat="false" ht="17.25" hidden="false" customHeight="false" outlineLevel="0" collapsed="false">
      <c r="A105" s="15"/>
      <c r="B105" s="16"/>
      <c r="H105" s="17"/>
      <c r="I105" s="17"/>
      <c r="J105" s="17"/>
    </row>
    <row r="106" customFormat="false" ht="17.25" hidden="false" customHeight="false" outlineLevel="0" collapsed="false">
      <c r="A106" s="15"/>
      <c r="B106" s="16"/>
      <c r="H106" s="17"/>
      <c r="I106" s="17"/>
      <c r="J106" s="17"/>
    </row>
    <row r="107" customFormat="false" ht="17.25" hidden="false" customHeight="false" outlineLevel="0" collapsed="false">
      <c r="A107" s="15"/>
      <c r="B107" s="16"/>
      <c r="H107" s="17"/>
      <c r="I107" s="17"/>
      <c r="J107" s="17"/>
    </row>
    <row r="108" customFormat="false" ht="17.25" hidden="false" customHeight="false" outlineLevel="0" collapsed="false">
      <c r="A108" s="15"/>
      <c r="B108" s="16"/>
      <c r="H108" s="17"/>
      <c r="I108" s="17"/>
      <c r="J108" s="17"/>
    </row>
    <row r="109" customFormat="false" ht="17.25" hidden="false" customHeight="false" outlineLevel="0" collapsed="false">
      <c r="A109" s="15"/>
      <c r="B109" s="16"/>
      <c r="H109" s="17"/>
      <c r="I109" s="17"/>
      <c r="J109" s="17"/>
    </row>
    <row r="110" customFormat="false" ht="17.25" hidden="false" customHeight="false" outlineLevel="0" collapsed="false">
      <c r="A110" s="15"/>
      <c r="B110" s="16"/>
      <c r="H110" s="17"/>
      <c r="I110" s="17"/>
      <c r="J110" s="17"/>
    </row>
    <row r="111" customFormat="false" ht="17.25" hidden="false" customHeight="false" outlineLevel="0" collapsed="false">
      <c r="A111" s="15"/>
      <c r="B111" s="16"/>
      <c r="H111" s="17"/>
      <c r="I111" s="17"/>
      <c r="J111" s="17"/>
    </row>
    <row r="112" customFormat="false" ht="17.25" hidden="false" customHeight="false" outlineLevel="0" collapsed="false">
      <c r="A112" s="15"/>
      <c r="B112" s="16"/>
      <c r="H112" s="17"/>
      <c r="I112" s="17"/>
      <c r="J112" s="17"/>
    </row>
    <row r="113" customFormat="false" ht="16.5" hidden="false" customHeight="false" outlineLevel="0" collapsed="false">
      <c r="A113" s="15"/>
    </row>
    <row r="114" customFormat="false" ht="16.5" hidden="false" customHeight="false" outlineLevel="0" collapsed="false">
      <c r="A114" s="1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L45" activeCellId="0" sqref="L45"/>
    </sheetView>
  </sheetViews>
  <sheetFormatPr defaultColWidth="11.53515625" defaultRowHeight="12.8" zeroHeight="false" outlineLevelRow="0" outlineLevelCol="0"/>
  <sheetData>
    <row r="1" customFormat="false" ht="13.8" hidden="false" customHeight="false" outlineLevel="0" collapsed="false">
      <c r="A1" s="12" t="s">
        <v>37</v>
      </c>
      <c r="B1" s="13" t="s">
        <v>38</v>
      </c>
      <c r="C1" s="13"/>
      <c r="D1" s="14"/>
      <c r="E1" s="14"/>
      <c r="F1" s="11"/>
      <c r="G1" s="1"/>
      <c r="H1" s="1"/>
      <c r="I1" s="1"/>
      <c r="J1" s="1"/>
      <c r="K1" s="1"/>
      <c r="L1" s="1"/>
      <c r="M1" s="1"/>
      <c r="N1" s="1"/>
      <c r="O1" s="1"/>
      <c r="P1" s="1"/>
      <c r="Q1" s="1"/>
    </row>
    <row r="2" customFormat="false" ht="13.8" hidden="false" customHeight="false" outlineLevel="0" collapsed="false">
      <c r="A2" s="1"/>
      <c r="B2" s="1"/>
      <c r="C2" s="1"/>
      <c r="D2" s="1"/>
      <c r="E2" s="11"/>
      <c r="F2" s="11"/>
      <c r="G2" s="1"/>
      <c r="H2" s="1"/>
      <c r="I2" s="1"/>
      <c r="J2" s="1"/>
      <c r="K2" s="1"/>
      <c r="L2" s="1"/>
      <c r="M2" s="2" t="s">
        <v>26</v>
      </c>
      <c r="N2" s="1"/>
      <c r="O2" s="2" t="s">
        <v>1</v>
      </c>
      <c r="P2" s="2" t="s">
        <v>2</v>
      </c>
      <c r="Q2" s="2" t="s">
        <v>3</v>
      </c>
    </row>
    <row r="3" customFormat="false" ht="13.8" hidden="false" customHeight="false" outlineLevel="0" collapsed="false">
      <c r="A3" s="0" t="n">
        <v>272251.44</v>
      </c>
      <c r="B3" s="8" t="n">
        <v>43465</v>
      </c>
      <c r="C3" s="1" t="s">
        <v>27</v>
      </c>
      <c r="D3" s="1"/>
      <c r="E3" s="1"/>
      <c r="F3" s="11"/>
      <c r="G3" s="17"/>
      <c r="H3" s="17" t="n">
        <f aca="false">IF(AND(DATE($O$3,$P$3,$Q$3)&lt;=$B3, $B3&lt;=DATE($O$4,$P$4,$Q$4)), IF(AND(H4=0, $A3 &gt; 0), 0, 1), IF(AND(H4&lt;&gt;0, $A3 &gt; 0), 1, 0))</f>
        <v>0</v>
      </c>
      <c r="I3" s="17" t="n">
        <f aca="false">IF(OR($H4&lt;&gt;0,$H3=0), 0, 1)</f>
        <v>0</v>
      </c>
      <c r="J3" s="17" t="n">
        <f aca="true">IF(IF(OR(IF($H2=0, 0, $B2)&lt;&gt;0,IF($H3=0, 0, $B3)=0), 0, OFFSET(IF($H3=0, 0, $B3),MATCH(1,$I3:$I1000,0) - 1,0))=0, 0, IF((DATEDIF(IF($H3=0, 0, $B3),IF(OR(IF($H2=0, 0, $B2)&lt;&gt;0,IF($H3=0, 0, $B3)=0), 0, OFFSET(IF($H3=0, 0, $B3),MATCH(1,$I3:$I1000,0) - 1,0)),"D") &gt;= 365), XIRR(OFFSET(IF($H3=0, 0, $A3),0,0, MATCH(1,$I3:$I1000,0), 1), OFFSET(IF($H3=0, 0, $B3),0,0, MATCH(1,$I3:$I1000,0), 1), 0.1), POWER((1+XIRR(OFFSET(IF($H3=0, 0, $A3),0,0, MATCH(1,$I3:$I1000,0), 1), OFFSET(IF($H3=0, 0, $B3),0,0, MATCH(1,$I3:$I1000,0), 1), 0.1)),(DATEDIF(IF($H3=0, 0, $B3),IF(OR(IF($H2=0, 0, $B2)&lt;&gt;0,IF($H3=0, 0, $B3)=0), 0, OFFSET(IF($H3=0, 0, $B3),MATCH(1,$I3:$I1000,0) - 1,0)),"D")/365))-1))</f>
        <v>0</v>
      </c>
      <c r="K3" s="1"/>
      <c r="L3" s="1"/>
      <c r="M3" s="1"/>
      <c r="N3" s="1" t="s">
        <v>28</v>
      </c>
      <c r="O3" s="1" t="n">
        <v>2023</v>
      </c>
      <c r="P3" s="1" t="n">
        <v>4</v>
      </c>
      <c r="Q3" s="1" t="n">
        <v>1</v>
      </c>
    </row>
    <row r="4" customFormat="false" ht="13.8" hidden="false" customHeight="false" outlineLevel="0" collapsed="false">
      <c r="A4" s="0" t="n">
        <v>-293517.57</v>
      </c>
      <c r="B4" s="8" t="n">
        <v>43555</v>
      </c>
      <c r="C4" s="1"/>
      <c r="D4" s="1"/>
      <c r="E4" s="1"/>
      <c r="F4" s="11"/>
      <c r="G4" s="17"/>
      <c r="H4" s="17" t="n">
        <f aca="false">IF(AND(DATE($O$3,$P$3,$Q$3)&lt;=$B4, $B4&lt;=DATE($O$4,$P$4,$Q$4)), IF(AND(H5=0, $A4 &gt; 0), 0, 1), IF(AND(H5&lt;&gt;0, $A4 &gt; 0), 1, 0))</f>
        <v>0</v>
      </c>
      <c r="I4" s="17" t="n">
        <f aca="false">IF(OR($H5&lt;&gt;0,$H4=0), 0, 1)</f>
        <v>0</v>
      </c>
      <c r="J4" s="17" t="n">
        <f aca="true">IF(IF(OR(IF($H3=0, 0, $B3)&lt;&gt;0,IF($H4=0, 0, $B4)=0), 0, OFFSET(IF($H4=0, 0, $B4),MATCH(1,$I4:$I1001,0) - 1,0))=0, 0, IF((DATEDIF(IF($H4=0, 0, $B4),IF(OR(IF($H3=0, 0, $B3)&lt;&gt;0,IF($H4=0, 0, $B4)=0), 0, OFFSET(IF($H4=0, 0, $B4),MATCH(1,$I4:$I1001,0) - 1,0)),"D") &gt;= 365), XIRR(OFFSET(IF($H4=0, 0, $A4),0,0, MATCH(1,$I4:$I1001,0), 1), OFFSET(IF($H4=0, 0, $B4),0,0, MATCH(1,$I4:$I1001,0), 1), 0.1), POWER((1+XIRR(OFFSET(IF($H4=0, 0, $A4),0,0, MATCH(1,$I4:$I1001,0), 1), OFFSET(IF($H4=0, 0, $B4),0,0, MATCH(1,$I4:$I1001,0), 1), 0.1)),(DATEDIF(IF($H4=0, 0, $B4),IF(OR(IF($H3=0, 0, $B3)&lt;&gt;0,IF($H4=0, 0, $B4)=0), 0, OFFSET(IF($H4=0, 0, $B4),MATCH(1,$I4:$I1001,0) - 1,0)),"D")/365))-1))</f>
        <v>0</v>
      </c>
      <c r="K4" s="1"/>
      <c r="L4" s="1"/>
      <c r="M4" s="1"/>
      <c r="N4" s="1" t="s">
        <v>29</v>
      </c>
      <c r="O4" s="1" t="n">
        <v>2024</v>
      </c>
      <c r="P4" s="1" t="n">
        <v>3</v>
      </c>
      <c r="Q4" s="1" t="n">
        <v>31</v>
      </c>
    </row>
    <row r="5" customFormat="false" ht="13.8" hidden="false" customHeight="false" outlineLevel="0" collapsed="false">
      <c r="A5" s="0" t="n">
        <v>293517.57</v>
      </c>
      <c r="B5" s="8" t="n">
        <v>43555</v>
      </c>
      <c r="C5" s="1"/>
      <c r="D5" s="1"/>
      <c r="E5" s="2" t="s">
        <v>30</v>
      </c>
      <c r="F5" s="18"/>
      <c r="G5" s="17"/>
      <c r="H5" s="17" t="n">
        <f aca="false">IF(AND(DATE($O$3,$P$3,$Q$3)&lt;=$B5, $B5&lt;=DATE($O$4,$P$4,$Q$4)), IF(AND(H6=0, $A5 &gt; 0), 0, 1), IF(AND(H6&lt;&gt;0, $A5 &gt; 0), 1, 0))</f>
        <v>0</v>
      </c>
      <c r="I5" s="17" t="n">
        <f aca="false">IF(OR($H6&lt;&gt;0,$H5=0), 0, 1)</f>
        <v>0</v>
      </c>
      <c r="J5" s="17" t="n">
        <f aca="true">IF(IF(OR(IF($H4=0, 0, $B4)&lt;&gt;0,IF($H5=0, 0, $B5)=0), 0, OFFSET(IF($H5=0, 0, $B5),MATCH(1,$I5:$I1002,0) - 1,0))=0, 0, IF((DATEDIF(IF($H5=0, 0, $B5),IF(OR(IF($H4=0, 0, $B4)&lt;&gt;0,IF($H5=0, 0, $B5)=0), 0, OFFSET(IF($H5=0, 0, $B5),MATCH(1,$I5:$I1002,0) - 1,0)),"D") &gt;= 365), XIRR(OFFSET(IF($H5=0, 0, $A5),0,0, MATCH(1,$I5:$I1002,0), 1), OFFSET(IF($H5=0, 0, $B5),0,0, MATCH(1,$I5:$I1002,0), 1), 0.1), POWER((1+XIRR(OFFSET(IF($H5=0, 0, $A5),0,0, MATCH(1,$I5:$I1002,0), 1), OFFSET(IF($H5=0, 0, $B5),0,0, MATCH(1,$I5:$I1002,0), 1), 0.1)),(DATEDIF(IF($H5=0, 0, $B5),IF(OR(IF($H4=0, 0, $B4)&lt;&gt;0,IF($H5=0, 0, $B5)=0), 0, OFFSET(IF($H5=0, 0, $B5),MATCH(1,$I5:$I1002,0) - 1,0)),"D")/365))-1))</f>
        <v>0</v>
      </c>
      <c r="K5" s="1"/>
      <c r="L5" s="1"/>
      <c r="M5" s="1"/>
      <c r="N5" s="1" t="s">
        <v>31</v>
      </c>
      <c r="O5" s="19" t="n">
        <f aca="false">SUM(J:J)</f>
        <v>0.197514128017412</v>
      </c>
      <c r="P5" s="1"/>
      <c r="Q5" s="1"/>
    </row>
    <row r="6" customFormat="false" ht="13.8" hidden="false" customHeight="false" outlineLevel="0" collapsed="false">
      <c r="A6" s="0" t="n">
        <v>-298458.24</v>
      </c>
      <c r="B6" s="8" t="n">
        <v>43646</v>
      </c>
      <c r="C6" s="1"/>
      <c r="D6" s="1"/>
      <c r="E6" s="20" t="s">
        <v>5</v>
      </c>
      <c r="F6" s="21" t="n">
        <v>0.0335859656086213</v>
      </c>
      <c r="G6" s="21"/>
      <c r="H6" s="17" t="n">
        <f aca="false">IF(AND(DATE($O$3,$P$3,$Q$3)&lt;=$B6, $B6&lt;=DATE($O$4,$P$4,$Q$4)), IF(AND(H7=0, $A6 &gt; 0), 0, 1), IF(AND(H7&lt;&gt;0, $A6 &gt; 0), 1, 0))</f>
        <v>0</v>
      </c>
      <c r="I6" s="17" t="n">
        <f aca="false">IF(OR($H7&lt;&gt;0,$H6=0), 0, 1)</f>
        <v>0</v>
      </c>
      <c r="J6" s="17" t="n">
        <f aca="true">IF(IF(OR(IF($H5=0, 0, $B5)&lt;&gt;0,IF($H6=0, 0, $B6)=0), 0, OFFSET(IF($H6=0, 0, $B6),MATCH(1,$I6:$I1003,0) - 1,0))=0, 0, IF((DATEDIF(IF($H6=0, 0, $B6),IF(OR(IF($H5=0, 0, $B5)&lt;&gt;0,IF($H6=0, 0, $B6)=0), 0, OFFSET(IF($H6=0, 0, $B6),MATCH(1,$I6:$I1003,0) - 1,0)),"D") &gt;= 365), XIRR(OFFSET(IF($H6=0, 0, $A6),0,0, MATCH(1,$I6:$I1003,0), 1), OFFSET(IF($H6=0, 0, $B6),0,0, MATCH(1,$I6:$I1003,0), 1), 0.1), POWER((1+XIRR(OFFSET(IF($H6=0, 0, $A6),0,0, MATCH(1,$I6:$I1003,0), 1), OFFSET(IF($H6=0, 0, $B6),0,0, MATCH(1,$I6:$I1003,0), 1), 0.1)),(DATEDIF(IF($H6=0, 0, $B6),IF(OR(IF($H5=0, 0, $B5)&lt;&gt;0,IF($H6=0, 0, $B6)=0), 0, OFFSET(IF($H6=0, 0, $B6),MATCH(1,$I6:$I1003,0) - 1,0)),"D")/365))-1))</f>
        <v>0</v>
      </c>
      <c r="K6" s="1"/>
      <c r="L6" s="1"/>
      <c r="M6" s="1"/>
      <c r="N6" s="1"/>
      <c r="O6" s="1"/>
      <c r="P6" s="1"/>
      <c r="Q6" s="1"/>
    </row>
    <row r="7" customFormat="false" ht="13.8" hidden="false" customHeight="false" outlineLevel="0" collapsed="false">
      <c r="A7" s="0" t="n">
        <v>298458.24</v>
      </c>
      <c r="B7" s="8" t="n">
        <v>43646</v>
      </c>
      <c r="C7" s="1"/>
      <c r="D7" s="1"/>
      <c r="E7" s="20" t="s">
        <v>6</v>
      </c>
      <c r="F7" s="21" t="n">
        <v>0.0335859656086213</v>
      </c>
      <c r="G7" s="21"/>
      <c r="H7" s="17" t="n">
        <f aca="false">IF(AND(DATE($O$3,$P$3,$Q$3)&lt;=$B7, $B7&lt;=DATE($O$4,$P$4,$Q$4)), IF(AND(H8=0, $A7 &gt; 0), 0, 1), IF(AND(H8&lt;&gt;0, $A7 &gt; 0), 1, 0))</f>
        <v>0</v>
      </c>
      <c r="I7" s="17" t="n">
        <f aca="false">IF(OR($H8&lt;&gt;0,$H7=0), 0, 1)</f>
        <v>0</v>
      </c>
      <c r="J7" s="17" t="n">
        <f aca="true">IF(IF(OR(IF($H6=0, 0, $B6)&lt;&gt;0,IF($H7=0, 0, $B7)=0), 0, OFFSET(IF($H7=0, 0, $B7),MATCH(1,$I7:$I1004,0) - 1,0))=0, 0, IF((DATEDIF(IF($H7=0, 0, $B7),IF(OR(IF($H6=0, 0, $B6)&lt;&gt;0,IF($H7=0, 0, $B7)=0), 0, OFFSET(IF($H7=0, 0, $B7),MATCH(1,$I7:$I1004,0) - 1,0)),"D") &gt;= 365), XIRR(OFFSET(IF($H7=0, 0, $A7),0,0, MATCH(1,$I7:$I1004,0), 1), OFFSET(IF($H7=0, 0, $B7),0,0, MATCH(1,$I7:$I1004,0), 1), 0.1), POWER((1+XIRR(OFFSET(IF($H7=0, 0, $A7),0,0, MATCH(1,$I7:$I1004,0), 1), OFFSET(IF($H7=0, 0, $B7),0,0, MATCH(1,$I7:$I1004,0), 1), 0.1)),(DATEDIF(IF($H7=0, 0, $B7),IF(OR(IF($H6=0, 0, $B6)&lt;&gt;0,IF($H7=0, 0, $B7)=0), 0, OFFSET(IF($H7=0, 0, $B7),MATCH(1,$I7:$I1004,0) - 1,0)),"D")/365))-1))</f>
        <v>0</v>
      </c>
      <c r="K7" s="1"/>
      <c r="L7" s="1"/>
      <c r="M7" s="1"/>
      <c r="N7" s="1"/>
      <c r="O7" s="2"/>
      <c r="P7" s="2"/>
      <c r="Q7" s="2"/>
    </row>
    <row r="8" customFormat="false" ht="13.8" hidden="false" customHeight="false" outlineLevel="0" collapsed="false">
      <c r="A8" s="0" t="n">
        <v>-482183.29</v>
      </c>
      <c r="B8" s="8" t="n">
        <v>43738</v>
      </c>
      <c r="C8" s="1"/>
      <c r="D8" s="1"/>
      <c r="E8" s="20" t="s">
        <v>7</v>
      </c>
      <c r="F8" s="21" t="n">
        <v>0.151789218187332</v>
      </c>
      <c r="G8" s="21"/>
      <c r="H8" s="17" t="n">
        <f aca="false">IF(AND(DATE($O$3,$P$3,$Q$3)&lt;=$B8, $B8&lt;=DATE($O$4,$P$4,$Q$4)), IF(AND(H9=0, $A8 &gt; 0), 0, 1), IF(AND(H9&lt;&gt;0, $A8 &gt; 0), 1, 0))</f>
        <v>0</v>
      </c>
      <c r="I8" s="17" t="n">
        <f aca="false">IF(OR($H9&lt;&gt;0,$H8=0), 0, 1)</f>
        <v>0</v>
      </c>
      <c r="J8" s="17" t="n">
        <f aca="true">IF(IF(OR(IF($H7=0, 0, $B7)&lt;&gt;0,IF($H8=0, 0, $B8)=0), 0, OFFSET(IF($H8=0, 0, $B8),MATCH(1,$I8:$I1005,0) - 1,0))=0, 0, IF((DATEDIF(IF($H8=0, 0, $B8),IF(OR(IF($H7=0, 0, $B7)&lt;&gt;0,IF($H8=0, 0, $B8)=0), 0, OFFSET(IF($H8=0, 0, $B8),MATCH(1,$I8:$I1005,0) - 1,0)),"D") &gt;= 365), XIRR(OFFSET(IF($H8=0, 0, $A8),0,0, MATCH(1,$I8:$I1005,0), 1), OFFSET(IF($H8=0, 0, $B8),0,0, MATCH(1,$I8:$I1005,0), 1), 0.1), POWER((1+XIRR(OFFSET(IF($H8=0, 0, $A8),0,0, MATCH(1,$I8:$I1005,0), 1), OFFSET(IF($H8=0, 0, $B8),0,0, MATCH(1,$I8:$I1005,0), 1), 0.1)),(DATEDIF(IF($H8=0, 0, $B8),IF(OR(IF($H7=0, 0, $B7)&lt;&gt;0,IF($H8=0, 0, $B8)=0), 0, OFFSET(IF($H8=0, 0, $B8),MATCH(1,$I8:$I1005,0) - 1,0)),"D")/365))-1))</f>
        <v>0</v>
      </c>
      <c r="K8" s="1"/>
      <c r="L8" s="1"/>
      <c r="M8" s="2"/>
      <c r="N8" s="1"/>
      <c r="O8" s="1"/>
      <c r="P8" s="1"/>
      <c r="Q8" s="1"/>
    </row>
    <row r="9" customFormat="false" ht="13.8" hidden="false" customHeight="false" outlineLevel="0" collapsed="false">
      <c r="A9" s="0" t="n">
        <v>482183.29</v>
      </c>
      <c r="B9" s="8" t="n">
        <v>43738</v>
      </c>
      <c r="C9" s="1"/>
      <c r="D9" s="1"/>
      <c r="E9" s="20" t="s">
        <v>8</v>
      </c>
      <c r="F9" s="21" t="n">
        <v>0.0432835310697556</v>
      </c>
      <c r="G9" s="21"/>
      <c r="H9" s="17" t="n">
        <f aca="false">IF(AND(DATE($O$3,$P$3,$Q$3)&lt;=$B9, $B9&lt;=DATE($O$4,$P$4,$Q$4)), IF(AND(H10=0, $A9 &gt; 0), 0, 1), IF(AND(H10&lt;&gt;0, $A9 &gt; 0), 1, 0))</f>
        <v>0</v>
      </c>
      <c r="I9" s="17" t="n">
        <f aca="false">IF(OR($H10&lt;&gt;0,$H9=0), 0, 1)</f>
        <v>0</v>
      </c>
      <c r="J9" s="17" t="n">
        <f aca="true">IF(IF(OR(IF($H8=0, 0, $B8)&lt;&gt;0,IF($H9=0, 0, $B9)=0), 0, OFFSET(IF($H9=0, 0, $B9),MATCH(1,$I9:$I1006,0) - 1,0))=0, 0, IF((DATEDIF(IF($H9=0, 0, $B9),IF(OR(IF($H8=0, 0, $B8)&lt;&gt;0,IF($H9=0, 0, $B9)=0), 0, OFFSET(IF($H9=0, 0, $B9),MATCH(1,$I9:$I1006,0) - 1,0)),"D") &gt;= 365), XIRR(OFFSET(IF($H9=0, 0, $A9),0,0, MATCH(1,$I9:$I1006,0), 1), OFFSET(IF($H9=0, 0, $B9),0,0, MATCH(1,$I9:$I1006,0), 1), 0.1), POWER((1+XIRR(OFFSET(IF($H9=0, 0, $A9),0,0, MATCH(1,$I9:$I1006,0), 1), OFFSET(IF($H9=0, 0, $B9),0,0, MATCH(1,$I9:$I1006,0), 1), 0.1)),(DATEDIF(IF($H9=0, 0, $B9),IF(OR(IF($H8=0, 0, $B8)&lt;&gt;0,IF($H9=0, 0, $B9)=0), 0, OFFSET(IF($H9=0, 0, $B9),MATCH(1,$I9:$I1006,0) - 1,0)),"D")/365))-1))</f>
        <v>0</v>
      </c>
      <c r="K9" s="1"/>
      <c r="L9" s="1"/>
      <c r="M9" s="1"/>
      <c r="N9" s="1"/>
      <c r="O9" s="1"/>
      <c r="P9" s="1"/>
      <c r="Q9" s="1"/>
    </row>
    <row r="10" customFormat="false" ht="13.8" hidden="false" customHeight="false" outlineLevel="0" collapsed="false">
      <c r="A10" s="0" t="n">
        <v>-506247.16</v>
      </c>
      <c r="B10" s="8" t="n">
        <v>43830</v>
      </c>
      <c r="C10" s="1"/>
      <c r="D10" s="1"/>
      <c r="E10" s="20" t="s">
        <v>9</v>
      </c>
      <c r="F10" s="21" t="n">
        <v>0.0432835310697556</v>
      </c>
      <c r="G10" s="21"/>
      <c r="H10" s="17" t="n">
        <f aca="false">IF(AND(DATE($O$3,$P$3,$Q$3)&lt;=$B10, $B10&lt;=DATE($O$4,$P$4,$Q$4)), IF(AND(H11=0, $A10 &gt; 0), 0, 1), IF(AND(H11&lt;&gt;0, $A10 &gt; 0), 1, 0))</f>
        <v>0</v>
      </c>
      <c r="I10" s="17" t="n">
        <f aca="false">IF(OR($H11&lt;&gt;0,$H10=0), 0, 1)</f>
        <v>0</v>
      </c>
      <c r="J10" s="17" t="n">
        <f aca="true">IF(IF(OR(IF($H9=0, 0, $B9)&lt;&gt;0,IF($H10=0, 0, $B10)=0), 0, OFFSET(IF($H10=0, 0, $B10),MATCH(1,$I10:$I1007,0) - 1,0))=0, 0, IF((DATEDIF(IF($H10=0, 0, $B10),IF(OR(IF($H9=0, 0, $B9)&lt;&gt;0,IF($H10=0, 0, $B10)=0), 0, OFFSET(IF($H10=0, 0, $B10),MATCH(1,$I10:$I1007,0) - 1,0)),"D") &gt;= 365), XIRR(OFFSET(IF($H10=0, 0, $A10),0,0, MATCH(1,$I10:$I1007,0), 1), OFFSET(IF($H10=0, 0, $B10),0,0, MATCH(1,$I10:$I1007,0), 1), 0.1), POWER((1+XIRR(OFFSET(IF($H10=0, 0, $A10),0,0, MATCH(1,$I10:$I1007,0), 1), OFFSET(IF($H10=0, 0, $B10),0,0, MATCH(1,$I10:$I1007,0), 1), 0.1)),(DATEDIF(IF($H10=0, 0, $B10),IF(OR(IF($H9=0, 0, $B9)&lt;&gt;0,IF($H10=0, 0, $B10)=0), 0, OFFSET(IF($H10=0, 0, $B10),MATCH(1,$I10:$I1007,0) - 1,0)),"D")/365))-1))</f>
        <v>0</v>
      </c>
      <c r="K10" s="1"/>
      <c r="L10" s="1"/>
      <c r="M10" s="1"/>
      <c r="N10" s="1"/>
      <c r="O10" s="1"/>
      <c r="P10" s="1"/>
      <c r="Q10" s="1"/>
    </row>
    <row r="11" customFormat="false" ht="13.8" hidden="false" customHeight="false" outlineLevel="0" collapsed="false">
      <c r="A11" s="0" t="n">
        <v>506247.16</v>
      </c>
      <c r="B11" s="8" t="n">
        <v>43830</v>
      </c>
      <c r="C11" s="1"/>
      <c r="D11" s="1"/>
      <c r="E11" s="20" t="s">
        <v>10</v>
      </c>
      <c r="F11" s="21" t="n">
        <v>0.0432835310697556</v>
      </c>
      <c r="G11" s="21"/>
      <c r="H11" s="17" t="n">
        <f aca="false">IF(AND(DATE($O$3,$P$3,$Q$3)&lt;=$B11, $B11&lt;=DATE($O$4,$P$4,$Q$4)), IF(AND(H12=0, $A11 &gt; 0), 0, 1), IF(AND(H12&lt;&gt;0, $A11 &gt; 0), 1, 0))</f>
        <v>0</v>
      </c>
      <c r="I11" s="17" t="n">
        <f aca="false">IF(OR($H12&lt;&gt;0,$H11=0), 0, 1)</f>
        <v>0</v>
      </c>
      <c r="J11" s="17" t="n">
        <f aca="true">IF(IF(OR(IF($H10=0, 0, $B10)&lt;&gt;0,IF($H11=0, 0, $B11)=0), 0, OFFSET(IF($H11=0, 0, $B11),MATCH(1,$I11:$I1008,0) - 1,0))=0, 0, IF((DATEDIF(IF($H11=0, 0, $B11),IF(OR(IF($H10=0, 0, $B10)&lt;&gt;0,IF($H11=0, 0, $B11)=0), 0, OFFSET(IF($H11=0, 0, $B11),MATCH(1,$I11:$I1008,0) - 1,0)),"D") &gt;= 365), XIRR(OFFSET(IF($H11=0, 0, $A11),0,0, MATCH(1,$I11:$I1008,0), 1), OFFSET(IF($H11=0, 0, $B11),0,0, MATCH(1,$I11:$I1008,0), 1), 0.1), POWER((1+XIRR(OFFSET(IF($H11=0, 0, $A11),0,0, MATCH(1,$I11:$I1008,0), 1), OFFSET(IF($H11=0, 0, $B11),0,0, MATCH(1,$I11:$I1008,0), 1), 0.1)),(DATEDIF(IF($H11=0, 0, $B11),IF(OR(IF($H10=0, 0, $B10)&lt;&gt;0,IF($H11=0, 0, $B11)=0), 0, OFFSET(IF($H11=0, 0, $B11),MATCH(1,$I11:$I1008,0) - 1,0)),"D")/365))-1))</f>
        <v>0</v>
      </c>
      <c r="K11" s="1"/>
      <c r="L11" s="1"/>
      <c r="M11" s="1"/>
      <c r="N11" s="1"/>
      <c r="O11" s="1"/>
      <c r="P11" s="1"/>
      <c r="Q11" s="1"/>
    </row>
    <row r="12" customFormat="false" ht="13.8" hidden="false" customHeight="false" outlineLevel="0" collapsed="false">
      <c r="A12" s="0" t="n">
        <v>-436555.35</v>
      </c>
      <c r="B12" s="8" t="n">
        <v>43921</v>
      </c>
      <c r="C12" s="1"/>
      <c r="D12" s="1"/>
      <c r="E12" s="20" t="s">
        <v>11</v>
      </c>
      <c r="F12" s="21" t="n">
        <v>0.0432835310697556</v>
      </c>
      <c r="G12" s="21"/>
      <c r="H12" s="17" t="n">
        <f aca="false">IF(AND(DATE($O$3,$P$3,$Q$3)&lt;=$B12, $B12&lt;=DATE($O$4,$P$4,$Q$4)), IF(AND(H13=0, $A12 &gt; 0), 0, 1), IF(AND(H13&lt;&gt;0, $A12 &gt; 0), 1, 0))</f>
        <v>0</v>
      </c>
      <c r="I12" s="17" t="n">
        <f aca="false">IF(OR($H13&lt;&gt;0,$H12=0), 0, 1)</f>
        <v>0</v>
      </c>
      <c r="J12" s="17" t="n">
        <f aca="true">IF(IF(OR(IF($H11=0, 0, $B11)&lt;&gt;0,IF($H12=0, 0, $B12)=0), 0, OFFSET(IF($H12=0, 0, $B12),MATCH(1,$I12:$I1009,0) - 1,0))=0, 0, IF((DATEDIF(IF($H12=0, 0, $B12),IF(OR(IF($H11=0, 0, $B11)&lt;&gt;0,IF($H12=0, 0, $B12)=0), 0, OFFSET(IF($H12=0, 0, $B12),MATCH(1,$I12:$I1009,0) - 1,0)),"D") &gt;= 365), XIRR(OFFSET(IF($H12=0, 0, $A12),0,0, MATCH(1,$I12:$I1009,0), 1), OFFSET(IF($H12=0, 0, $B12),0,0, MATCH(1,$I12:$I1009,0), 1), 0.1), POWER((1+XIRR(OFFSET(IF($H12=0, 0, $A12),0,0, MATCH(1,$I12:$I1009,0), 1), OFFSET(IF($H12=0, 0, $B12),0,0, MATCH(1,$I12:$I1009,0), 1), 0.1)),(DATEDIF(IF($H12=0, 0, $B12),IF(OR(IF($H11=0, 0, $B11)&lt;&gt;0,IF($H12=0, 0, $B12)=0), 0, OFFSET(IF($H12=0, 0, $B12),MATCH(1,$I12:$I1009,0) - 1,0)),"D")/365))-1))</f>
        <v>0</v>
      </c>
      <c r="K12" s="1"/>
      <c r="L12" s="1"/>
      <c r="M12" s="1"/>
      <c r="N12" s="1"/>
      <c r="O12" s="1"/>
      <c r="P12" s="1"/>
      <c r="Q12" s="1"/>
    </row>
    <row r="13" customFormat="false" ht="13.8" hidden="false" customHeight="false" outlineLevel="0" collapsed="false">
      <c r="A13" s="0" t="n">
        <v>436555.35</v>
      </c>
      <c r="B13" s="8" t="n">
        <v>43921</v>
      </c>
      <c r="C13" s="1"/>
      <c r="D13" s="1"/>
      <c r="E13" s="20" t="n">
        <v>2019</v>
      </c>
      <c r="F13" s="21" t="n">
        <v>0</v>
      </c>
      <c r="G13" s="21"/>
      <c r="H13" s="17" t="n">
        <f aca="false">IF(AND(DATE($O$3,$P$3,$Q$3)&lt;=$B13, $B13&lt;=DATE($O$4,$P$4,$Q$4)), IF(AND(H14=0, $A13 &gt; 0), 0, 1), IF(AND(H14&lt;&gt;0, $A13 &gt; 0), 1, 0))</f>
        <v>0</v>
      </c>
      <c r="I13" s="17" t="n">
        <f aca="false">IF(OR($H14&lt;&gt;0,$H13=0), 0, 1)</f>
        <v>0</v>
      </c>
      <c r="J13" s="17" t="n">
        <f aca="true">IF(IF(OR(IF($H12=0, 0, $B12)&lt;&gt;0,IF($H13=0, 0, $B13)=0), 0, OFFSET(IF($H13=0, 0, $B13),MATCH(1,$I13:$I1010,0) - 1,0))=0, 0, IF((DATEDIF(IF($H13=0, 0, $B13),IF(OR(IF($H12=0, 0, $B12)&lt;&gt;0,IF($H13=0, 0, $B13)=0), 0, OFFSET(IF($H13=0, 0, $B13),MATCH(1,$I13:$I1010,0) - 1,0)),"D") &gt;= 365), XIRR(OFFSET(IF($H13=0, 0, $A13),0,0, MATCH(1,$I13:$I1010,0), 1), OFFSET(IF($H13=0, 0, $B13),0,0, MATCH(1,$I13:$I1010,0), 1), 0.1), POWER((1+XIRR(OFFSET(IF($H13=0, 0, $A13),0,0, MATCH(1,$I13:$I1010,0), 1), OFFSET(IF($H13=0, 0, $B13),0,0, MATCH(1,$I13:$I1010,0), 1), 0.1)),(DATEDIF(IF($H13=0, 0, $B13),IF(OR(IF($H12=0, 0, $B12)&lt;&gt;0,IF($H13=0, 0, $B13)=0), 0, OFFSET(IF($H13=0, 0, $B13),MATCH(1,$I13:$I1010,0) - 1,0)),"D")/365))-1))</f>
        <v>0</v>
      </c>
      <c r="K13" s="1"/>
      <c r="L13" s="1"/>
      <c r="M13" s="1"/>
      <c r="N13" s="1"/>
      <c r="O13" s="1"/>
      <c r="P13" s="1"/>
      <c r="Q13" s="1"/>
    </row>
    <row r="14" customFormat="false" ht="13.8" hidden="false" customHeight="false" outlineLevel="0" collapsed="false">
      <c r="A14" s="0" t="n">
        <v>-507848.12</v>
      </c>
      <c r="B14" s="8" t="n">
        <v>44012</v>
      </c>
      <c r="C14" s="1"/>
      <c r="D14" s="1"/>
      <c r="E14" s="20" t="n">
        <v>2020</v>
      </c>
      <c r="F14" s="21" t="n">
        <v>0</v>
      </c>
      <c r="G14" s="21"/>
      <c r="H14" s="17" t="n">
        <f aca="false">IF(AND(DATE($O$3,$P$3,$Q$3)&lt;=$B14, $B14&lt;=DATE($O$4,$P$4,$Q$4)), IF(AND(H15=0, $A14 &gt; 0), 0, 1), IF(AND(H15&lt;&gt;0, $A14 &gt; 0), 1, 0))</f>
        <v>0</v>
      </c>
      <c r="I14" s="17" t="n">
        <f aca="false">IF(OR($H15&lt;&gt;0,$H14=0), 0, 1)</f>
        <v>0</v>
      </c>
      <c r="J14" s="17" t="n">
        <f aca="true">IF(IF(OR(IF($H13=0, 0, $B13)&lt;&gt;0,IF($H14=0, 0, $B14)=0), 0, OFFSET(IF($H14=0, 0, $B14),MATCH(1,$I14:$I1011,0) - 1,0))=0, 0, IF((DATEDIF(IF($H14=0, 0, $B14),IF(OR(IF($H13=0, 0, $B13)&lt;&gt;0,IF($H14=0, 0, $B14)=0), 0, OFFSET(IF($H14=0, 0, $B14),MATCH(1,$I14:$I1011,0) - 1,0)),"D") &gt;= 365), XIRR(OFFSET(IF($H14=0, 0, $A14),0,0, MATCH(1,$I14:$I1011,0), 1), OFFSET(IF($H14=0, 0, $B14),0,0, MATCH(1,$I14:$I1011,0), 1), 0.1), POWER((1+XIRR(OFFSET(IF($H14=0, 0, $A14),0,0, MATCH(1,$I14:$I1011,0), 1), OFFSET(IF($H14=0, 0, $B14),0,0, MATCH(1,$I14:$I1011,0), 1), 0.1)),(DATEDIF(IF($H14=0, 0, $B14),IF(OR(IF($H13=0, 0, $B13)&lt;&gt;0,IF($H14=0, 0, $B14)=0), 0, OFFSET(IF($H14=0, 0, $B14),MATCH(1,$I14:$I1011,0) - 1,0)),"D")/365))-1))</f>
        <v>0</v>
      </c>
      <c r="K14" s="1"/>
      <c r="L14" s="1"/>
      <c r="M14" s="1"/>
      <c r="N14" s="1"/>
      <c r="O14" s="1"/>
      <c r="P14" s="1"/>
      <c r="Q14" s="1"/>
    </row>
    <row r="15" customFormat="false" ht="13.8" hidden="false" customHeight="false" outlineLevel="0" collapsed="false">
      <c r="A15" s="0" t="n">
        <v>507848.12</v>
      </c>
      <c r="B15" s="8" t="n">
        <v>44012</v>
      </c>
      <c r="C15" s="1"/>
      <c r="D15" s="1"/>
      <c r="E15" s="20" t="n">
        <v>2021</v>
      </c>
      <c r="F15" s="21" t="n">
        <v>0</v>
      </c>
      <c r="G15" s="21"/>
      <c r="H15" s="17" t="n">
        <f aca="false">IF(AND(DATE($O$3,$P$3,$Q$3)&lt;=$B15, $B15&lt;=DATE($O$4,$P$4,$Q$4)), IF(AND(H16=0, $A15 &gt; 0), 0, 1), IF(AND(H16&lt;&gt;0, $A15 &gt; 0), 1, 0))</f>
        <v>0</v>
      </c>
      <c r="I15" s="17" t="n">
        <f aca="false">IF(OR($H16&lt;&gt;0,$H15=0), 0, 1)</f>
        <v>0</v>
      </c>
      <c r="J15" s="17" t="n">
        <f aca="true">IF(IF(OR(IF($H14=0, 0, $B14)&lt;&gt;0,IF($H15=0, 0, $B15)=0), 0, OFFSET(IF($H15=0, 0, $B15),MATCH(1,$I15:$I1012,0) - 1,0))=0, 0, IF((DATEDIF(IF($H15=0, 0, $B15),IF(OR(IF($H14=0, 0, $B14)&lt;&gt;0,IF($H15=0, 0, $B15)=0), 0, OFFSET(IF($H15=0, 0, $B15),MATCH(1,$I15:$I1012,0) - 1,0)),"D") &gt;= 365), XIRR(OFFSET(IF($H15=0, 0, $A15),0,0, MATCH(1,$I15:$I1012,0), 1), OFFSET(IF($H15=0, 0, $B15),0,0, MATCH(1,$I15:$I1012,0), 1), 0.1), POWER((1+XIRR(OFFSET(IF($H15=0, 0, $A15),0,0, MATCH(1,$I15:$I1012,0), 1), OFFSET(IF($H15=0, 0, $B15),0,0, MATCH(1,$I15:$I1012,0), 1), 0.1)),(DATEDIF(IF($H15=0, 0, $B15),IF(OR(IF($H14=0, 0, $B14)&lt;&gt;0,IF($H15=0, 0, $B15)=0), 0, OFFSET(IF($H15=0, 0, $B15),MATCH(1,$I15:$I1012,0) - 1,0)),"D")/365))-1))</f>
        <v>0</v>
      </c>
      <c r="K15" s="1"/>
      <c r="L15" s="1"/>
      <c r="M15" s="1"/>
      <c r="N15" s="1"/>
      <c r="O15" s="1"/>
      <c r="P15" s="1"/>
      <c r="Q15" s="1"/>
    </row>
    <row r="16" customFormat="false" ht="13.8" hidden="false" customHeight="false" outlineLevel="0" collapsed="false">
      <c r="A16" s="0" t="n">
        <v>-543785.4</v>
      </c>
      <c r="B16" s="8" t="n">
        <v>44104</v>
      </c>
      <c r="C16" s="1"/>
      <c r="D16" s="1"/>
      <c r="E16" s="20" t="n">
        <v>2022</v>
      </c>
      <c r="F16" s="21" t="n">
        <v>-0.0898299306631088</v>
      </c>
      <c r="G16" s="21"/>
      <c r="H16" s="17" t="n">
        <f aca="false">IF(AND(DATE($O$3,$P$3,$Q$3)&lt;=$B16, $B16&lt;=DATE($O$4,$P$4,$Q$4)), IF(AND(H17=0, $A16 &gt; 0), 0, 1), IF(AND(H17&lt;&gt;0, $A16 &gt; 0), 1, 0))</f>
        <v>0</v>
      </c>
      <c r="I16" s="17" t="n">
        <f aca="false">IF(OR($H17&lt;&gt;0,$H16=0), 0, 1)</f>
        <v>0</v>
      </c>
      <c r="J16" s="17" t="n">
        <f aca="true">IF(IF(OR(IF($H15=0, 0, $B15)&lt;&gt;0,IF($H16=0, 0, $B16)=0), 0, OFFSET(IF($H16=0, 0, $B16),MATCH(1,$I16:$I1013,0) - 1,0))=0, 0, IF((DATEDIF(IF($H16=0, 0, $B16),IF(OR(IF($H15=0, 0, $B15)&lt;&gt;0,IF($H16=0, 0, $B16)=0), 0, OFFSET(IF($H16=0, 0, $B16),MATCH(1,$I16:$I1013,0) - 1,0)),"D") &gt;= 365), XIRR(OFFSET(IF($H16=0, 0, $A16),0,0, MATCH(1,$I16:$I1013,0), 1), OFFSET(IF($H16=0, 0, $B16),0,0, MATCH(1,$I16:$I1013,0), 1), 0.1), POWER((1+XIRR(OFFSET(IF($H16=0, 0, $A16),0,0, MATCH(1,$I16:$I1013,0), 1), OFFSET(IF($H16=0, 0, $B16),0,0, MATCH(1,$I16:$I1013,0), 1), 0.1)),(DATEDIF(IF($H16=0, 0, $B16),IF(OR(IF($H15=0, 0, $B15)&lt;&gt;0,IF($H16=0, 0, $B16)=0), 0, OFFSET(IF($H16=0, 0, $B16),MATCH(1,$I16:$I1013,0) - 1,0)),"D")/365))-1))</f>
        <v>0</v>
      </c>
      <c r="K16" s="1"/>
      <c r="L16" s="1"/>
      <c r="M16" s="1"/>
      <c r="N16" s="1"/>
      <c r="O16" s="1"/>
      <c r="P16" s="1"/>
      <c r="Q16" s="1"/>
    </row>
    <row r="17" customFormat="false" ht="13.8" hidden="false" customHeight="false" outlineLevel="0" collapsed="false">
      <c r="A17" s="0" t="n">
        <v>543785.4</v>
      </c>
      <c r="B17" s="8" t="n">
        <v>44104</v>
      </c>
      <c r="C17" s="1"/>
      <c r="D17" s="1"/>
      <c r="E17" s="20" t="n">
        <v>2023</v>
      </c>
      <c r="F17" s="21" t="n">
        <v>0.169293493032455</v>
      </c>
      <c r="G17" s="21"/>
      <c r="H17" s="17" t="n">
        <f aca="false">IF(AND(DATE($O$3,$P$3,$Q$3)&lt;=$B17, $B17&lt;=DATE($O$4,$P$4,$Q$4)), IF(AND(H18=0, $A17 &gt; 0), 0, 1), IF(AND(H18&lt;&gt;0, $A17 &gt; 0), 1, 0))</f>
        <v>0</v>
      </c>
      <c r="I17" s="17" t="n">
        <f aca="false">IF(OR($H18&lt;&gt;0,$H17=0), 0, 1)</f>
        <v>0</v>
      </c>
      <c r="J17" s="17" t="n">
        <f aca="true">IF(IF(OR(IF($H16=0, 0, $B16)&lt;&gt;0,IF($H17=0, 0, $B17)=0), 0, OFFSET(IF($H17=0, 0, $B17),MATCH(1,$I17:$I1014,0) - 1,0))=0, 0, IF((DATEDIF(IF($H17=0, 0, $B17),IF(OR(IF($H16=0, 0, $B16)&lt;&gt;0,IF($H17=0, 0, $B17)=0), 0, OFFSET(IF($H17=0, 0, $B17),MATCH(1,$I17:$I1014,0) - 1,0)),"D") &gt;= 365), XIRR(OFFSET(IF($H17=0, 0, $A17),0,0, MATCH(1,$I17:$I1014,0), 1), OFFSET(IF($H17=0, 0, $B17),0,0, MATCH(1,$I17:$I1014,0), 1), 0.1), POWER((1+XIRR(OFFSET(IF($H17=0, 0, $A17),0,0, MATCH(1,$I17:$I1014,0), 1), OFFSET(IF($H17=0, 0, $B17),0,0, MATCH(1,$I17:$I1014,0), 1), 0.1)),(DATEDIF(IF($H17=0, 0, $B17),IF(OR(IF($H16=0, 0, $B16)&lt;&gt;0,IF($H17=0, 0, $B17)=0), 0, OFFSET(IF($H17=0, 0, $B17),MATCH(1,$I17:$I1014,0) - 1,0)),"D")/365))-1))</f>
        <v>0</v>
      </c>
      <c r="K17" s="1"/>
      <c r="L17" s="1"/>
      <c r="M17" s="1"/>
      <c r="N17" s="1"/>
      <c r="O17" s="1"/>
      <c r="P17" s="1"/>
      <c r="Q17" s="1"/>
    </row>
    <row r="18" customFormat="false" ht="13.8" hidden="false" customHeight="false" outlineLevel="0" collapsed="false">
      <c r="A18" s="0" t="n">
        <v>-596392.77</v>
      </c>
      <c r="B18" s="8" t="n">
        <v>44196</v>
      </c>
      <c r="C18" s="1"/>
      <c r="D18" s="1"/>
      <c r="E18" s="20" t="n">
        <v>2024</v>
      </c>
      <c r="F18" s="21" t="n">
        <v>0.0335859656086213</v>
      </c>
      <c r="G18" s="21"/>
      <c r="H18" s="17" t="n">
        <f aca="false">IF(AND(DATE($O$3,$P$3,$Q$3)&lt;=$B18, $B18&lt;=DATE($O$4,$P$4,$Q$4)), IF(AND(H19=0, $A18 &gt; 0), 0, 1), IF(AND(H19&lt;&gt;0, $A18 &gt; 0), 1, 0))</f>
        <v>0</v>
      </c>
      <c r="I18" s="17" t="n">
        <f aca="false">IF(OR($H19&lt;&gt;0,$H18=0), 0, 1)</f>
        <v>0</v>
      </c>
      <c r="J18" s="17" t="n">
        <f aca="true">IF(IF(OR(IF($H17=0, 0, $B17)&lt;&gt;0,IF($H18=0, 0, $B18)=0), 0, OFFSET(IF($H18=0, 0, $B18),MATCH(1,$I18:$I1015,0) - 1,0))=0, 0, IF((DATEDIF(IF($H18=0, 0, $B18),IF(OR(IF($H17=0, 0, $B17)&lt;&gt;0,IF($H18=0, 0, $B18)=0), 0, OFFSET(IF($H18=0, 0, $B18),MATCH(1,$I18:$I1015,0) - 1,0)),"D") &gt;= 365), XIRR(OFFSET(IF($H18=0, 0, $A18),0,0, MATCH(1,$I18:$I1015,0), 1), OFFSET(IF($H18=0, 0, $B18),0,0, MATCH(1,$I18:$I1015,0), 1), 0.1), POWER((1+XIRR(OFFSET(IF($H18=0, 0, $A18),0,0, MATCH(1,$I18:$I1015,0), 1), OFFSET(IF($H18=0, 0, $B18),0,0, MATCH(1,$I18:$I1015,0), 1), 0.1)),(DATEDIF(IF($H18=0, 0, $B18),IF(OR(IF($H17=0, 0, $B17)&lt;&gt;0,IF($H18=0, 0, $B18)=0), 0, OFFSET(IF($H18=0, 0, $B18),MATCH(1,$I18:$I1015,0) - 1,0)),"D")/365))-1))</f>
        <v>0</v>
      </c>
      <c r="K18" s="1"/>
      <c r="L18" s="1"/>
      <c r="M18" s="1"/>
      <c r="N18" s="1"/>
      <c r="O18" s="1"/>
      <c r="P18" s="1"/>
      <c r="Q18" s="1"/>
    </row>
    <row r="19" customFormat="false" ht="13.8" hidden="false" customHeight="false" outlineLevel="0" collapsed="false">
      <c r="A19" s="0" t="n">
        <v>596392.77</v>
      </c>
      <c r="B19" s="8" t="n">
        <v>44196</v>
      </c>
      <c r="C19" s="1"/>
      <c r="D19" s="1"/>
      <c r="E19" s="20" t="n">
        <v>2025</v>
      </c>
      <c r="F19" s="23" t="n">
        <v>0</v>
      </c>
      <c r="G19" s="17"/>
      <c r="H19" s="17" t="n">
        <f aca="false">IF(AND(DATE($O$3,$P$3,$Q$3)&lt;=$B19, $B19&lt;=DATE($O$4,$P$4,$Q$4)), IF(AND(H20=0, $A19 &gt; 0), 0, 1), IF(AND(H20&lt;&gt;0, $A19 &gt; 0), 1, 0))</f>
        <v>0</v>
      </c>
      <c r="I19" s="17" t="n">
        <f aca="false">IF(OR($H20&lt;&gt;0,$H19=0), 0, 1)</f>
        <v>0</v>
      </c>
      <c r="J19" s="17" t="n">
        <f aca="true">IF(IF(OR(IF($H18=0, 0, $B18)&lt;&gt;0,IF($H19=0, 0, $B19)=0), 0, OFFSET(IF($H19=0, 0, $B19),MATCH(1,$I19:$I1016,0) - 1,0))=0, 0, IF((DATEDIF(IF($H19=0, 0, $B19),IF(OR(IF($H18=0, 0, $B18)&lt;&gt;0,IF($H19=0, 0, $B19)=0), 0, OFFSET(IF($H19=0, 0, $B19),MATCH(1,$I19:$I1016,0) - 1,0)),"D") &gt;= 365), XIRR(OFFSET(IF($H19=0, 0, $A19),0,0, MATCH(1,$I19:$I1016,0), 1), OFFSET(IF($H19=0, 0, $B19),0,0, MATCH(1,$I19:$I1016,0), 1), 0.1), POWER((1+XIRR(OFFSET(IF($H19=0, 0, $A19),0,0, MATCH(1,$I19:$I1016,0), 1), OFFSET(IF($H19=0, 0, $B19),0,0, MATCH(1,$I19:$I1016,0), 1), 0.1)),(DATEDIF(IF($H19=0, 0, $B19),IF(OR(IF($H18=0, 0, $B18)&lt;&gt;0,IF($H19=0, 0, $B19)=0), 0, OFFSET(IF($H19=0, 0, $B19),MATCH(1,$I19:$I1016,0) - 1,0)),"D")/365))-1))</f>
        <v>0</v>
      </c>
      <c r="K19" s="1"/>
      <c r="L19" s="1"/>
      <c r="M19" s="1"/>
      <c r="N19" s="1"/>
      <c r="O19" s="1"/>
      <c r="P19" s="1"/>
      <c r="Q19" s="1"/>
    </row>
    <row r="20" customFormat="false" ht="13.8" hidden="false" customHeight="false" outlineLevel="0" collapsed="false">
      <c r="A20" s="0" t="n">
        <v>-639716.88</v>
      </c>
      <c r="B20" s="8" t="n">
        <v>44286</v>
      </c>
      <c r="C20" s="1"/>
      <c r="D20" s="1"/>
      <c r="E20" s="20" t="n">
        <v>2026</v>
      </c>
      <c r="F20" s="23" t="n">
        <v>0</v>
      </c>
      <c r="G20" s="17"/>
      <c r="H20" s="17" t="n">
        <f aca="false">IF(AND(DATE($O$3,$P$3,$Q$3)&lt;=$B20, $B20&lt;=DATE($O$4,$P$4,$Q$4)), IF(AND(H21=0, $A20 &gt; 0), 0, 1), IF(AND(H21&lt;&gt;0, $A20 &gt; 0), 1, 0))</f>
        <v>0</v>
      </c>
      <c r="I20" s="17" t="n">
        <f aca="false">IF(OR($H21&lt;&gt;0,$H20=0), 0, 1)</f>
        <v>0</v>
      </c>
      <c r="J20" s="17" t="n">
        <f aca="true">IF(IF(OR(IF($H19=0, 0, $B19)&lt;&gt;0,IF($H20=0, 0, $B20)=0), 0, OFFSET(IF($H20=0, 0, $B20),MATCH(1,$I20:$I1017,0) - 1,0))=0, 0, IF((DATEDIF(IF($H20=0, 0, $B20),IF(OR(IF($H19=0, 0, $B19)&lt;&gt;0,IF($H20=0, 0, $B20)=0), 0, OFFSET(IF($H20=0, 0, $B20),MATCH(1,$I20:$I1017,0) - 1,0)),"D") &gt;= 365), XIRR(OFFSET(IF($H20=0, 0, $A20),0,0, MATCH(1,$I20:$I1017,0), 1), OFFSET(IF($H20=0, 0, $B20),0,0, MATCH(1,$I20:$I1017,0), 1), 0.1), POWER((1+XIRR(OFFSET(IF($H20=0, 0, $A20),0,0, MATCH(1,$I20:$I1017,0), 1), OFFSET(IF($H20=0, 0, $B20),0,0, MATCH(1,$I20:$I1017,0), 1), 0.1)),(DATEDIF(IF($H20=0, 0, $B20),IF(OR(IF($H19=0, 0, $B19)&lt;&gt;0,IF($H20=0, 0, $B20)=0), 0, OFFSET(IF($H20=0, 0, $B20),MATCH(1,$I20:$I1017,0) - 1,0)),"D")/365))-1))</f>
        <v>0</v>
      </c>
      <c r="K20" s="1"/>
      <c r="L20" s="1"/>
      <c r="M20" s="1"/>
      <c r="N20" s="1"/>
      <c r="O20" s="1"/>
      <c r="P20" s="1"/>
      <c r="Q20" s="1"/>
    </row>
    <row r="21" customFormat="false" ht="13.8" hidden="false" customHeight="false" outlineLevel="0" collapsed="false">
      <c r="A21" s="0" t="n">
        <v>639716.88</v>
      </c>
      <c r="B21" s="8" t="n">
        <v>44286</v>
      </c>
      <c r="C21" s="1"/>
      <c r="D21" s="1"/>
      <c r="E21" s="20" t="n">
        <v>2027</v>
      </c>
      <c r="F21" s="23" t="n">
        <v>0</v>
      </c>
      <c r="G21" s="17"/>
      <c r="H21" s="17" t="n">
        <f aca="false">IF(AND(DATE($O$3,$P$3,$Q$3)&lt;=$B21, $B21&lt;=DATE($O$4,$P$4,$Q$4)), IF(AND(H22=0, $A21 &gt; 0), 0, 1), IF(AND(H22&lt;&gt;0, $A21 &gt; 0), 1, 0))</f>
        <v>0</v>
      </c>
      <c r="I21" s="17" t="n">
        <f aca="false">IF(OR($H22&lt;&gt;0,$H21=0), 0, 1)</f>
        <v>0</v>
      </c>
      <c r="J21" s="17" t="n">
        <f aca="true">IF(IF(OR(IF($H20=0, 0, $B20)&lt;&gt;0,IF($H21=0, 0, $B21)=0), 0, OFFSET(IF($H21=0, 0, $B21),MATCH(1,$I21:$I1018,0) - 1,0))=0, 0, IF((DATEDIF(IF($H21=0, 0, $B21),IF(OR(IF($H20=0, 0, $B20)&lt;&gt;0,IF($H21=0, 0, $B21)=0), 0, OFFSET(IF($H21=0, 0, $B21),MATCH(1,$I21:$I1018,0) - 1,0)),"D") &gt;= 365), XIRR(OFFSET(IF($H21=0, 0, $A21),0,0, MATCH(1,$I21:$I1018,0), 1), OFFSET(IF($H21=0, 0, $B21),0,0, MATCH(1,$I21:$I1018,0), 1), 0.1), POWER((1+XIRR(OFFSET(IF($H21=0, 0, $A21),0,0, MATCH(1,$I21:$I1018,0), 1), OFFSET(IF($H21=0, 0, $B21),0,0, MATCH(1,$I21:$I1018,0), 1), 0.1)),(DATEDIF(IF($H21=0, 0, $B21),IF(OR(IF($H20=0, 0, $B20)&lt;&gt;0,IF($H21=0, 0, $B21)=0), 0, OFFSET(IF($H21=0, 0, $B21),MATCH(1,$I21:$I1018,0) - 1,0)),"D")/365))-1))</f>
        <v>0</v>
      </c>
      <c r="K21" s="1"/>
      <c r="L21" s="1"/>
      <c r="M21" s="1"/>
      <c r="N21" s="1"/>
      <c r="O21" s="1"/>
      <c r="P21" s="1"/>
      <c r="Q21" s="1"/>
    </row>
    <row r="22" customFormat="false" ht="13.8" hidden="false" customHeight="false" outlineLevel="0" collapsed="false">
      <c r="A22" s="0" t="n">
        <v>-690513.81</v>
      </c>
      <c r="B22" s="8" t="n">
        <v>44377</v>
      </c>
      <c r="C22" s="1"/>
      <c r="D22" s="1"/>
      <c r="E22" s="20" t="n">
        <v>2028</v>
      </c>
      <c r="F22" s="23" t="n">
        <v>0</v>
      </c>
      <c r="G22" s="17"/>
      <c r="H22" s="17" t="n">
        <f aca="false">IF(AND(DATE($O$3,$P$3,$Q$3)&lt;=$B22, $B22&lt;=DATE($O$4,$P$4,$Q$4)), IF(AND(H23=0, $A22 &gt; 0), 0, 1), IF(AND(H23&lt;&gt;0, $A22 &gt; 0), 1, 0))</f>
        <v>0</v>
      </c>
      <c r="I22" s="17" t="n">
        <f aca="false">IF(OR($H23&lt;&gt;0,$H22=0), 0, 1)</f>
        <v>0</v>
      </c>
      <c r="J22" s="17" t="n">
        <f aca="true">IF(IF(OR(IF($H21=0, 0, $B21)&lt;&gt;0,IF($H22=0, 0, $B22)=0), 0, OFFSET(IF($H22=0, 0, $B22),MATCH(1,$I22:$I1019,0) - 1,0))=0, 0, IF((DATEDIF(IF($H22=0, 0, $B22),IF(OR(IF($H21=0, 0, $B21)&lt;&gt;0,IF($H22=0, 0, $B22)=0), 0, OFFSET(IF($H22=0, 0, $B22),MATCH(1,$I22:$I1019,0) - 1,0)),"D") &gt;= 365), XIRR(OFFSET(IF($H22=0, 0, $A22),0,0, MATCH(1,$I22:$I1019,0), 1), OFFSET(IF($H22=0, 0, $B22),0,0, MATCH(1,$I22:$I1019,0), 1), 0.1), POWER((1+XIRR(OFFSET(IF($H22=0, 0, $A22),0,0, MATCH(1,$I22:$I1019,0), 1), OFFSET(IF($H22=0, 0, $B22),0,0, MATCH(1,$I22:$I1019,0), 1), 0.1)),(DATEDIF(IF($H22=0, 0, $B22),IF(OR(IF($H21=0, 0, $B21)&lt;&gt;0,IF($H22=0, 0, $B22)=0), 0, OFFSET(IF($H22=0, 0, $B22),MATCH(1,$I22:$I1019,0) - 1,0)),"D")/365))-1))</f>
        <v>0</v>
      </c>
      <c r="K22" s="1"/>
      <c r="L22" s="1"/>
      <c r="M22" s="1"/>
      <c r="N22" s="1"/>
      <c r="O22" s="1"/>
      <c r="P22" s="1"/>
      <c r="Q22" s="1"/>
    </row>
    <row r="23" customFormat="false" ht="13.8" hidden="false" customHeight="false" outlineLevel="0" collapsed="false">
      <c r="A23" s="0" t="n">
        <v>690513.81</v>
      </c>
      <c r="B23" s="8" t="n">
        <v>44377</v>
      </c>
      <c r="C23" s="1"/>
      <c r="D23" s="1"/>
      <c r="E23" s="20" t="n">
        <v>2029</v>
      </c>
      <c r="F23" s="23" t="n">
        <v>0</v>
      </c>
      <c r="G23" s="17"/>
      <c r="H23" s="17" t="n">
        <f aca="false">IF(AND(DATE($O$3,$P$3,$Q$3)&lt;=$B23, $B23&lt;=DATE($O$4,$P$4,$Q$4)), IF(AND(H24=0, $A23 &gt; 0), 0, 1), IF(AND(H24&lt;&gt;0, $A23 &gt; 0), 1, 0))</f>
        <v>0</v>
      </c>
      <c r="I23" s="17" t="n">
        <f aca="false">IF(OR($H24&lt;&gt;0,$H23=0), 0, 1)</f>
        <v>0</v>
      </c>
      <c r="J23" s="17" t="n">
        <f aca="true">IF(IF(OR(IF($H22=0, 0, $B22)&lt;&gt;0,IF($H23=0, 0, $B23)=0), 0, OFFSET(IF($H23=0, 0, $B23),MATCH(1,$I23:$I1020,0) - 1,0))=0, 0, IF((DATEDIF(IF($H23=0, 0, $B23),IF(OR(IF($H22=0, 0, $B22)&lt;&gt;0,IF($H23=0, 0, $B23)=0), 0, OFFSET(IF($H23=0, 0, $B23),MATCH(1,$I23:$I1020,0) - 1,0)),"D") &gt;= 365), XIRR(OFFSET(IF($H23=0, 0, $A23),0,0, MATCH(1,$I23:$I1020,0), 1), OFFSET(IF($H23=0, 0, $B23),0,0, MATCH(1,$I23:$I1020,0), 1), 0.1), POWER((1+XIRR(OFFSET(IF($H23=0, 0, $A23),0,0, MATCH(1,$I23:$I1020,0), 1), OFFSET(IF($H23=0, 0, $B23),0,0, MATCH(1,$I23:$I1020,0), 1), 0.1)),(DATEDIF(IF($H23=0, 0, $B23),IF(OR(IF($H22=0, 0, $B22)&lt;&gt;0,IF($H23=0, 0, $B23)=0), 0, OFFSET(IF($H23=0, 0, $B23),MATCH(1,$I23:$I1020,0) - 1,0)),"D")/365))-1))</f>
        <v>0</v>
      </c>
      <c r="K23" s="1"/>
      <c r="L23" s="1"/>
      <c r="M23" s="1"/>
      <c r="N23" s="1"/>
      <c r="O23" s="1"/>
      <c r="P23" s="1"/>
      <c r="Q23" s="1"/>
    </row>
    <row r="24" customFormat="false" ht="13.8" hidden="false" customHeight="false" outlineLevel="0" collapsed="false">
      <c r="A24" s="0" t="n">
        <v>-727283.51</v>
      </c>
      <c r="B24" s="8" t="n">
        <v>44469</v>
      </c>
      <c r="C24" s="1"/>
      <c r="D24" s="1"/>
      <c r="E24" s="20" t="n">
        <v>2030</v>
      </c>
      <c r="F24" s="23" t="n">
        <v>0</v>
      </c>
      <c r="G24" s="17"/>
      <c r="H24" s="17" t="n">
        <f aca="false">IF(AND(DATE($O$3,$P$3,$Q$3)&lt;=$B24, $B24&lt;=DATE($O$4,$P$4,$Q$4)), IF(AND(H25=0, $A24 &gt; 0), 0, 1), IF(AND(H25&lt;&gt;0, $A24 &gt; 0), 1, 0))</f>
        <v>0</v>
      </c>
      <c r="I24" s="17" t="n">
        <f aca="false">IF(OR($H25&lt;&gt;0,$H24=0), 0, 1)</f>
        <v>0</v>
      </c>
      <c r="J24" s="17" t="n">
        <f aca="true">IF(IF(OR(IF($H23=0, 0, $B23)&lt;&gt;0,IF($H24=0, 0, $B24)=0), 0, OFFSET(IF($H24=0, 0, $B24),MATCH(1,$I24:$I1021,0) - 1,0))=0, 0, IF((DATEDIF(IF($H24=0, 0, $B24),IF(OR(IF($H23=0, 0, $B23)&lt;&gt;0,IF($H24=0, 0, $B24)=0), 0, OFFSET(IF($H24=0, 0, $B24),MATCH(1,$I24:$I1021,0) - 1,0)),"D") &gt;= 365), XIRR(OFFSET(IF($H24=0, 0, $A24),0,0, MATCH(1,$I24:$I1021,0), 1), OFFSET(IF($H24=0, 0, $B24),0,0, MATCH(1,$I24:$I1021,0), 1), 0.1), POWER((1+XIRR(OFFSET(IF($H24=0, 0, $A24),0,0, MATCH(1,$I24:$I1021,0), 1), OFFSET(IF($H24=0, 0, $B24),0,0, MATCH(1,$I24:$I1021,0), 1), 0.1)),(DATEDIF(IF($H24=0, 0, $B24),IF(OR(IF($H23=0, 0, $B23)&lt;&gt;0,IF($H24=0, 0, $B24)=0), 0, OFFSET(IF($H24=0, 0, $B24),MATCH(1,$I24:$I1021,0) - 1,0)),"D")/365))-1))</f>
        <v>0</v>
      </c>
      <c r="K24" s="1"/>
      <c r="L24" s="1"/>
      <c r="M24" s="1"/>
      <c r="N24" s="1"/>
      <c r="O24" s="1"/>
      <c r="P24" s="1"/>
      <c r="Q24" s="1"/>
    </row>
    <row r="25" customFormat="false" ht="13.8" hidden="false" customHeight="false" outlineLevel="0" collapsed="false">
      <c r="A25" s="0" t="n">
        <v>727283.51</v>
      </c>
      <c r="B25" s="8" t="n">
        <v>44469</v>
      </c>
      <c r="C25" s="1"/>
      <c r="D25" s="1"/>
      <c r="E25" s="20" t="n">
        <v>2031</v>
      </c>
      <c r="F25" s="23" t="n">
        <v>0</v>
      </c>
      <c r="G25" s="17"/>
      <c r="H25" s="17" t="n">
        <f aca="false">IF(AND(DATE($O$3,$P$3,$Q$3)&lt;=$B25, $B25&lt;=DATE($O$4,$P$4,$Q$4)), IF(AND(H26=0, $A25 &gt; 0), 0, 1), IF(AND(H26&lt;&gt;0, $A25 &gt; 0), 1, 0))</f>
        <v>0</v>
      </c>
      <c r="I25" s="17" t="n">
        <f aca="false">IF(OR($H26&lt;&gt;0,$H25=0), 0, 1)</f>
        <v>0</v>
      </c>
      <c r="J25" s="17" t="n">
        <f aca="true">IF(IF(OR(IF($H24=0, 0, $B24)&lt;&gt;0,IF($H25=0, 0, $B25)=0), 0, OFFSET(IF($H25=0, 0, $B25),MATCH(1,$I25:$I1022,0) - 1,0))=0, 0, IF((DATEDIF(IF($H25=0, 0, $B25),IF(OR(IF($H24=0, 0, $B24)&lt;&gt;0,IF($H25=0, 0, $B25)=0), 0, OFFSET(IF($H25=0, 0, $B25),MATCH(1,$I25:$I1022,0) - 1,0)),"D") &gt;= 365), XIRR(OFFSET(IF($H25=0, 0, $A25),0,0, MATCH(1,$I25:$I1022,0), 1), OFFSET(IF($H25=0, 0, $B25),0,0, MATCH(1,$I25:$I1022,0), 1), 0.1), POWER((1+XIRR(OFFSET(IF($H25=0, 0, $A25),0,0, MATCH(1,$I25:$I1022,0), 1), OFFSET(IF($H25=0, 0, $B25),0,0, MATCH(1,$I25:$I1022,0), 1), 0.1)),(DATEDIF(IF($H25=0, 0, $B25),IF(OR(IF($H24=0, 0, $B24)&lt;&gt;0,IF($H25=0, 0, $B25)=0), 0, OFFSET(IF($H25=0, 0, $B25),MATCH(1,$I25:$I1022,0) - 1,0)),"D")/365))-1))</f>
        <v>0</v>
      </c>
      <c r="K25" s="1"/>
      <c r="L25" s="1"/>
      <c r="M25" s="1"/>
      <c r="N25" s="1"/>
      <c r="O25" s="1"/>
      <c r="P25" s="1"/>
      <c r="Q25" s="1"/>
    </row>
    <row r="26" customFormat="false" ht="13.8" hidden="false" customHeight="false" outlineLevel="0" collapsed="false">
      <c r="A26" s="0" t="n">
        <v>-783342.92</v>
      </c>
      <c r="B26" s="8" t="n">
        <v>44561</v>
      </c>
      <c r="C26" s="1"/>
      <c r="D26" s="1"/>
      <c r="E26" s="1"/>
      <c r="F26" s="11"/>
      <c r="G26" s="17"/>
      <c r="H26" s="17" t="n">
        <f aca="false">IF(AND(DATE($O$3,$P$3,$Q$3)&lt;=$B26, $B26&lt;=DATE($O$4,$P$4,$Q$4)), IF(AND(H27=0, $A26 &gt; 0), 0, 1), IF(AND(H27&lt;&gt;0, $A26 &gt; 0), 1, 0))</f>
        <v>0</v>
      </c>
      <c r="I26" s="17" t="n">
        <f aca="false">IF(OR($H27&lt;&gt;0,$H26=0), 0, 1)</f>
        <v>0</v>
      </c>
      <c r="J26" s="17" t="n">
        <f aca="true">IF(IF(OR(IF($H25=0, 0, $B25)&lt;&gt;0,IF($H26=0, 0, $B26)=0), 0, OFFSET(IF($H26=0, 0, $B26),MATCH(1,$I26:$I1023,0) - 1,0))=0, 0, IF((DATEDIF(IF($H26=0, 0, $B26),IF(OR(IF($H25=0, 0, $B25)&lt;&gt;0,IF($H26=0, 0, $B26)=0), 0, OFFSET(IF($H26=0, 0, $B26),MATCH(1,$I26:$I1023,0) - 1,0)),"D") &gt;= 365), XIRR(OFFSET(IF($H26=0, 0, $A26),0,0, MATCH(1,$I26:$I1023,0), 1), OFFSET(IF($H26=0, 0, $B26),0,0, MATCH(1,$I26:$I1023,0), 1), 0.1), POWER((1+XIRR(OFFSET(IF($H26=0, 0, $A26),0,0, MATCH(1,$I26:$I1023,0), 1), OFFSET(IF($H26=0, 0, $B26),0,0, MATCH(1,$I26:$I1023,0), 1), 0.1)),(DATEDIF(IF($H26=0, 0, $B26),IF(OR(IF($H25=0, 0, $B25)&lt;&gt;0,IF($H26=0, 0, $B26)=0), 0, OFFSET(IF($H26=0, 0, $B26),MATCH(1,$I26:$I1023,0) - 1,0)),"D")/365))-1))</f>
        <v>0</v>
      </c>
      <c r="K26" s="1"/>
      <c r="L26" s="1"/>
      <c r="M26" s="1"/>
      <c r="N26" s="1"/>
      <c r="O26" s="1"/>
      <c r="P26" s="1"/>
      <c r="Q26" s="1"/>
    </row>
    <row r="27" customFormat="false" ht="13.8" hidden="false" customHeight="false" outlineLevel="0" collapsed="false">
      <c r="A27" s="0" t="n">
        <v>783342.92</v>
      </c>
      <c r="B27" s="8" t="n">
        <v>44561</v>
      </c>
      <c r="C27" s="26"/>
      <c r="D27" s="1"/>
      <c r="E27" s="1"/>
      <c r="F27" s="11"/>
      <c r="G27" s="17"/>
      <c r="H27" s="17" t="n">
        <f aca="false">IF(AND(DATE($O$3,$P$3,$Q$3)&lt;=$B27, $B27&lt;=DATE($O$4,$P$4,$Q$4)), IF(AND(H28=0, $A27 &gt; 0), 0, 1), IF(AND(H28&lt;&gt;0, $A27 &gt; 0), 1, 0))</f>
        <v>0</v>
      </c>
      <c r="I27" s="17" t="n">
        <f aca="false">IF(OR($H28&lt;&gt;0,$H27=0), 0, 1)</f>
        <v>0</v>
      </c>
      <c r="J27" s="17" t="n">
        <f aca="true">IF(IF(OR(IF($H26=0, 0, $B26)&lt;&gt;0,IF($H27=0, 0, $B27)=0), 0, OFFSET(IF($H27=0, 0, $B27),MATCH(1,$I27:$I1024,0) - 1,0))=0, 0, IF((DATEDIF(IF($H27=0, 0, $B27),IF(OR(IF($H26=0, 0, $B26)&lt;&gt;0,IF($H27=0, 0, $B27)=0), 0, OFFSET(IF($H27=0, 0, $B27),MATCH(1,$I27:$I1024,0) - 1,0)),"D") &gt;= 365), XIRR(OFFSET(IF($H27=0, 0, $A27),0,0, MATCH(1,$I27:$I1024,0), 1), OFFSET(IF($H27=0, 0, $B27),0,0, MATCH(1,$I27:$I1024,0), 1), 0.1), POWER((1+XIRR(OFFSET(IF($H27=0, 0, $A27),0,0, MATCH(1,$I27:$I1024,0), 1), OFFSET(IF($H27=0, 0, $B27),0,0, MATCH(1,$I27:$I1024,0), 1), 0.1)),(DATEDIF(IF($H27=0, 0, $B27),IF(OR(IF($H26=0, 0, $B26)&lt;&gt;0,IF($H27=0, 0, $B27)=0), 0, OFFSET(IF($H27=0, 0, $B27),MATCH(1,$I27:$I1024,0) - 1,0)),"D")/365))-1))</f>
        <v>0</v>
      </c>
      <c r="K27" s="1"/>
      <c r="L27" s="1"/>
      <c r="M27" s="1"/>
      <c r="N27" s="1"/>
      <c r="O27" s="1"/>
      <c r="P27" s="1"/>
      <c r="Q27" s="1"/>
    </row>
    <row r="28" customFormat="false" ht="13.8" hidden="false" customHeight="false" outlineLevel="0" collapsed="false">
      <c r="A28" s="0" t="n">
        <v>-744973.96</v>
      </c>
      <c r="B28" s="8" t="n">
        <v>44651</v>
      </c>
      <c r="C28" s="1"/>
      <c r="D28" s="1"/>
      <c r="E28" s="1"/>
      <c r="F28" s="11"/>
      <c r="G28" s="17"/>
      <c r="H28" s="17" t="n">
        <f aca="false">IF(AND(DATE($O$3,$P$3,$Q$3)&lt;=$B28, $B28&lt;=DATE($O$4,$P$4,$Q$4)), IF(AND(H29=0, $A28 &gt; 0), 0, 1), IF(AND(H29&lt;&gt;0, $A28 &gt; 0), 1, 0))</f>
        <v>0</v>
      </c>
      <c r="I28" s="17" t="n">
        <f aca="false">IF(OR($H29&lt;&gt;0,$H28=0), 0, 1)</f>
        <v>0</v>
      </c>
      <c r="J28" s="17" t="n">
        <f aca="true">IF(IF(OR(IF($H27=0, 0, $B27)&lt;&gt;0,IF($H28=0, 0, $B28)=0), 0, OFFSET(IF($H28=0, 0, $B28),MATCH(1,$I28:$I1025,0) - 1,0))=0, 0, IF((DATEDIF(IF($H28=0, 0, $B28),IF(OR(IF($H27=0, 0, $B27)&lt;&gt;0,IF($H28=0, 0, $B28)=0), 0, OFFSET(IF($H28=0, 0, $B28),MATCH(1,$I28:$I1025,0) - 1,0)),"D") &gt;= 365), XIRR(OFFSET(IF($H28=0, 0, $A28),0,0, MATCH(1,$I28:$I1025,0), 1), OFFSET(IF($H28=0, 0, $B28),0,0, MATCH(1,$I28:$I1025,0), 1), 0.1), POWER((1+XIRR(OFFSET(IF($H28=0, 0, $A28),0,0, MATCH(1,$I28:$I1025,0), 1), OFFSET(IF($H28=0, 0, $B28),0,0, MATCH(1,$I28:$I1025,0), 1), 0.1)),(DATEDIF(IF($H28=0, 0, $B28),IF(OR(IF($H27=0, 0, $B27)&lt;&gt;0,IF($H28=0, 0, $B28)=0), 0, OFFSET(IF($H28=0, 0, $B28),MATCH(1,$I28:$I1025,0) - 1,0)),"D")/365))-1))</f>
        <v>0</v>
      </c>
      <c r="K28" s="1"/>
      <c r="L28" s="1"/>
      <c r="M28" s="1"/>
      <c r="N28" s="1"/>
      <c r="O28" s="1"/>
      <c r="P28" s="1"/>
      <c r="Q28" s="1"/>
    </row>
    <row r="29" customFormat="false" ht="13.8" hidden="false" customHeight="false" outlineLevel="0" collapsed="false">
      <c r="A29" s="0" t="n">
        <v>744973.96</v>
      </c>
      <c r="B29" s="8" t="n">
        <v>44651</v>
      </c>
      <c r="H29" s="17" t="n">
        <f aca="false">IF(AND(DATE($O$3,$P$3,$Q$3)&lt;=$B29, $B29&lt;=DATE($O$4,$P$4,$Q$4)), IF(AND(H30=0, $A29 &gt; 0), 0, 1), IF(AND(H30&lt;&gt;0, $A29 &gt; 0), 1, 0))</f>
        <v>0</v>
      </c>
      <c r="I29" s="17" t="n">
        <f aca="false">IF(OR($H30&lt;&gt;0,$H29=0), 0, 1)</f>
        <v>0</v>
      </c>
      <c r="J29" s="17" t="n">
        <f aca="true">IF(IF(OR(IF($H28=0, 0, $B28)&lt;&gt;0,IF($H29=0, 0, $B29)=0), 0, OFFSET(IF($H29=0, 0, $B29),MATCH(1,$I29:$I1026,0) - 1,0))=0, 0, IF((DATEDIF(IF($H29=0, 0, $B29),IF(OR(IF($H28=0, 0, $B28)&lt;&gt;0,IF($H29=0, 0, $B29)=0), 0, OFFSET(IF($H29=0, 0, $B29),MATCH(1,$I29:$I1026,0) - 1,0)),"D") &gt;= 365), XIRR(OFFSET(IF($H29=0, 0, $A29),0,0, MATCH(1,$I29:$I1026,0), 1), OFFSET(IF($H29=0, 0, $B29),0,0, MATCH(1,$I29:$I1026,0), 1), 0.1), POWER((1+XIRR(OFFSET(IF($H29=0, 0, $A29),0,0, MATCH(1,$I29:$I1026,0), 1), OFFSET(IF($H29=0, 0, $B29),0,0, MATCH(1,$I29:$I1026,0), 1), 0.1)),(DATEDIF(IF($H29=0, 0, $B29),IF(OR(IF($H28=0, 0, $B28)&lt;&gt;0,IF($H29=0, 0, $B29)=0), 0, OFFSET(IF($H29=0, 0, $B29),MATCH(1,$I29:$I1026,0) - 1,0)),"D")/365))-1))</f>
        <v>0</v>
      </c>
    </row>
    <row r="30" customFormat="false" ht="13.8" hidden="false" customHeight="false" outlineLevel="0" collapsed="false">
      <c r="A30" s="0" t="n">
        <v>-631404.74</v>
      </c>
      <c r="B30" s="8" t="n">
        <v>44742</v>
      </c>
      <c r="H30" s="17" t="n">
        <f aca="false">IF(AND(DATE($O$3,$P$3,$Q$3)&lt;=$B30, $B30&lt;=DATE($O$4,$P$4,$Q$4)), IF(AND(H31=0, $A30 &gt; 0), 0, 1), IF(AND(H31&lt;&gt;0, $A30 &gt; 0), 1, 0))</f>
        <v>0</v>
      </c>
      <c r="I30" s="17" t="n">
        <f aca="false">IF(OR($H31&lt;&gt;0,$H30=0), 0, 1)</f>
        <v>0</v>
      </c>
      <c r="J30" s="17" t="n">
        <f aca="true">IF(IF(OR(IF($H29=0, 0, $B29)&lt;&gt;0,IF($H30=0, 0, $B30)=0), 0, OFFSET(IF($H30=0, 0, $B30),MATCH(1,$I30:$I1027,0) - 1,0))=0, 0, IF((DATEDIF(IF($H30=0, 0, $B30),IF(OR(IF($H29=0, 0, $B29)&lt;&gt;0,IF($H30=0, 0, $B30)=0), 0, OFFSET(IF($H30=0, 0, $B30),MATCH(1,$I30:$I1027,0) - 1,0)),"D") &gt;= 365), XIRR(OFFSET(IF($H30=0, 0, $A30),0,0, MATCH(1,$I30:$I1027,0), 1), OFFSET(IF($H30=0, 0, $B30),0,0, MATCH(1,$I30:$I1027,0), 1), 0.1), POWER((1+XIRR(OFFSET(IF($H30=0, 0, $A30),0,0, MATCH(1,$I30:$I1027,0), 1), OFFSET(IF($H30=0, 0, $B30),0,0, MATCH(1,$I30:$I1027,0), 1), 0.1)),(DATEDIF(IF($H30=0, 0, $B30),IF(OR(IF($H29=0, 0, $B29)&lt;&gt;0,IF($H30=0, 0, $B30)=0), 0, OFFSET(IF($H30=0, 0, $B30),MATCH(1,$I30:$I1027,0) - 1,0)),"D")/365))-1))</f>
        <v>0</v>
      </c>
    </row>
    <row r="31" customFormat="false" ht="13.8" hidden="false" customHeight="false" outlineLevel="0" collapsed="false">
      <c r="A31" s="0" t="n">
        <v>631404.74</v>
      </c>
      <c r="B31" s="8" t="n">
        <v>44742</v>
      </c>
      <c r="H31" s="17" t="n">
        <f aca="false">IF(AND(DATE($O$3,$P$3,$Q$3)&lt;=$B31, $B31&lt;=DATE($O$4,$P$4,$Q$4)), IF(AND(H32=0, $A31 &gt; 0), 0, 1), IF(AND(H32&lt;&gt;0, $A31 &gt; 0), 1, 0))</f>
        <v>0</v>
      </c>
      <c r="I31" s="17" t="n">
        <f aca="false">IF(OR($H32&lt;&gt;0,$H31=0), 0, 1)</f>
        <v>0</v>
      </c>
      <c r="J31" s="17" t="n">
        <f aca="true">IF(IF(OR(IF($H30=0, 0, $B30)&lt;&gt;0,IF($H31=0, 0, $B31)=0), 0, OFFSET(IF($H31=0, 0, $B31),MATCH(1,$I31:$I1028,0) - 1,0))=0, 0, IF((DATEDIF(IF($H31=0, 0, $B31),IF(OR(IF($H30=0, 0, $B30)&lt;&gt;0,IF($H31=0, 0, $B31)=0), 0, OFFSET(IF($H31=0, 0, $B31),MATCH(1,$I31:$I1028,0) - 1,0)),"D") &gt;= 365), XIRR(OFFSET(IF($H31=0, 0, $A31),0,0, MATCH(1,$I31:$I1028,0), 1), OFFSET(IF($H31=0, 0, $B31),0,0, MATCH(1,$I31:$I1028,0), 1), 0.1), POWER((1+XIRR(OFFSET(IF($H31=0, 0, $A31),0,0, MATCH(1,$I31:$I1028,0), 1), OFFSET(IF($H31=0, 0, $B31),0,0, MATCH(1,$I31:$I1028,0), 1), 0.1)),(DATEDIF(IF($H31=0, 0, $B31),IF(OR(IF($H30=0, 0, $B30)&lt;&gt;0,IF($H31=0, 0, $B31)=0), 0, OFFSET(IF($H31=0, 0, $B31),MATCH(1,$I31:$I1028,0) - 1,0)),"D")/365))-1))</f>
        <v>0</v>
      </c>
    </row>
    <row r="32" customFormat="false" ht="13.8" hidden="false" customHeight="false" outlineLevel="0" collapsed="false">
      <c r="A32" s="0" t="n">
        <v>-649886.34</v>
      </c>
      <c r="B32" s="8" t="n">
        <v>44834</v>
      </c>
      <c r="H32" s="17" t="n">
        <f aca="false">IF(AND(DATE($O$3,$P$3,$Q$3)&lt;=$B32, $B32&lt;=DATE($O$4,$P$4,$Q$4)), IF(AND(H33=0, $A32 &gt; 0), 0, 1), IF(AND(H33&lt;&gt;0, $A32 &gt; 0), 1, 0))</f>
        <v>0</v>
      </c>
      <c r="I32" s="17" t="n">
        <f aca="false">IF(OR($H33&lt;&gt;0,$H32=0), 0, 1)</f>
        <v>0</v>
      </c>
      <c r="J32" s="17" t="n">
        <f aca="true">IF(IF(OR(IF($H31=0, 0, $B31)&lt;&gt;0,IF($H32=0, 0, $B32)=0), 0, OFFSET(IF($H32=0, 0, $B32),MATCH(1,$I32:$I1029,0) - 1,0))=0, 0, IF((DATEDIF(IF($H32=0, 0, $B32),IF(OR(IF($H31=0, 0, $B31)&lt;&gt;0,IF($H32=0, 0, $B32)=0), 0, OFFSET(IF($H32=0, 0, $B32),MATCH(1,$I32:$I1029,0) - 1,0)),"D") &gt;= 365), XIRR(OFFSET(IF($H32=0, 0, $A32),0,0, MATCH(1,$I32:$I1029,0), 1), OFFSET(IF($H32=0, 0, $B32),0,0, MATCH(1,$I32:$I1029,0), 1), 0.1), POWER((1+XIRR(OFFSET(IF($H32=0, 0, $A32),0,0, MATCH(1,$I32:$I1029,0), 1), OFFSET(IF($H32=0, 0, $B32),0,0, MATCH(1,$I32:$I1029,0), 1), 0.1)),(DATEDIF(IF($H32=0, 0, $B32),IF(OR(IF($H31=0, 0, $B31)&lt;&gt;0,IF($H32=0, 0, $B32)=0), 0, OFFSET(IF($H32=0, 0, $B32),MATCH(1,$I32:$I1029,0) - 1,0)),"D")/365))-1))</f>
        <v>0</v>
      </c>
    </row>
    <row r="33" customFormat="false" ht="13.8" hidden="false" customHeight="false" outlineLevel="0" collapsed="false">
      <c r="A33" s="0" t="n">
        <v>649886.34</v>
      </c>
      <c r="B33" s="8" t="n">
        <v>44834</v>
      </c>
      <c r="H33" s="17" t="n">
        <f aca="false">IF(AND(DATE($O$3,$P$3,$Q$3)&lt;=$B33, $B33&lt;=DATE($O$4,$P$4,$Q$4)), IF(AND(H34=0, $A33 &gt; 0), 0, 1), IF(AND(H34&lt;&gt;0, $A33 &gt; 0), 1, 0))</f>
        <v>0</v>
      </c>
      <c r="I33" s="17" t="n">
        <f aca="false">IF(OR($H34&lt;&gt;0,$H33=0), 0, 1)</f>
        <v>0</v>
      </c>
      <c r="J33" s="17" t="n">
        <f aca="true">IF(IF(OR(IF($H32=0, 0, $B32)&lt;&gt;0,IF($H33=0, 0, $B33)=0), 0, OFFSET(IF($H33=0, 0, $B33),MATCH(1,$I33:$I1030,0) - 1,0))=0, 0, IF((DATEDIF(IF($H33=0, 0, $B33),IF(OR(IF($H32=0, 0, $B32)&lt;&gt;0,IF($H33=0, 0, $B33)=0), 0, OFFSET(IF($H33=0, 0, $B33),MATCH(1,$I33:$I1030,0) - 1,0)),"D") &gt;= 365), XIRR(OFFSET(IF($H33=0, 0, $A33),0,0, MATCH(1,$I33:$I1030,0), 1), OFFSET(IF($H33=0, 0, $B33),0,0, MATCH(1,$I33:$I1030,0), 1), 0.1), POWER((1+XIRR(OFFSET(IF($H33=0, 0, $A33),0,0, MATCH(1,$I33:$I1030,0), 1), OFFSET(IF($H33=0, 0, $B33),0,0, MATCH(1,$I33:$I1030,0), 1), 0.1)),(DATEDIF(IF($H33=0, 0, $B33),IF(OR(IF($H32=0, 0, $B32)&lt;&gt;0,IF($H33=0, 0, $B33)=0), 0, OFFSET(IF($H33=0, 0, $B33),MATCH(1,$I33:$I1030,0) - 1,0)),"D")/365))-1))</f>
        <v>0</v>
      </c>
    </row>
    <row r="34" customFormat="false" ht="13.8" hidden="false" customHeight="false" outlineLevel="0" collapsed="false">
      <c r="A34" s="0" t="n">
        <v>-676935.56</v>
      </c>
      <c r="B34" s="8" t="n">
        <v>44926</v>
      </c>
      <c r="H34" s="17" t="n">
        <f aca="false">IF(AND(DATE($O$3,$P$3,$Q$3)&lt;=$B34, $B34&lt;=DATE($O$4,$P$4,$Q$4)), IF(AND(H35=0, $A34 &gt; 0), 0, 1), IF(AND(H35&lt;&gt;0, $A34 &gt; 0), 1, 0))</f>
        <v>0</v>
      </c>
      <c r="I34" s="17" t="n">
        <f aca="false">IF(OR($H35&lt;&gt;0,$H34=0), 0, 1)</f>
        <v>0</v>
      </c>
      <c r="J34" s="17" t="n">
        <f aca="true">IF(IF(OR(IF($H33=0, 0, $B33)&lt;&gt;0,IF($H34=0, 0, $B34)=0), 0, OFFSET(IF($H34=0, 0, $B34),MATCH(1,$I34:$I1031,0) - 1,0))=0, 0, IF((DATEDIF(IF($H34=0, 0, $B34),IF(OR(IF($H33=0, 0, $B33)&lt;&gt;0,IF($H34=0, 0, $B34)=0), 0, OFFSET(IF($H34=0, 0, $B34),MATCH(1,$I34:$I1031,0) - 1,0)),"D") &gt;= 365), XIRR(OFFSET(IF($H34=0, 0, $A34),0,0, MATCH(1,$I34:$I1031,0), 1), OFFSET(IF($H34=0, 0, $B34),0,0, MATCH(1,$I34:$I1031,0), 1), 0.1), POWER((1+XIRR(OFFSET(IF($H34=0, 0, $A34),0,0, MATCH(1,$I34:$I1031,0), 1), OFFSET(IF($H34=0, 0, $B34),0,0, MATCH(1,$I34:$I1031,0), 1), 0.1)),(DATEDIF(IF($H34=0, 0, $B34),IF(OR(IF($H33=0, 0, $B33)&lt;&gt;0,IF($H34=0, 0, $B34)=0), 0, OFFSET(IF($H34=0, 0, $B34),MATCH(1,$I34:$I1031,0) - 1,0)),"D")/365))-1))</f>
        <v>0</v>
      </c>
    </row>
    <row r="35" customFormat="false" ht="13.8" hidden="false" customHeight="false" outlineLevel="0" collapsed="false">
      <c r="A35" s="0" t="n">
        <v>676935.56</v>
      </c>
      <c r="B35" s="8" t="n">
        <v>44926</v>
      </c>
      <c r="H35" s="17" t="n">
        <f aca="false">IF(AND(DATE($O$3,$P$3,$Q$3)&lt;=$B35, $B35&lt;=DATE($O$4,$P$4,$Q$4)), IF(AND(H36=0, $A35 &gt; 0), 0, 1), IF(AND(H36&lt;&gt;0, $A35 &gt; 0), 1, 0))</f>
        <v>0</v>
      </c>
      <c r="I35" s="17" t="n">
        <f aca="false">IF(OR($H36&lt;&gt;0,$H35=0), 0, 1)</f>
        <v>0</v>
      </c>
      <c r="J35" s="17" t="n">
        <f aca="true">IF(IF(OR(IF($H34=0, 0, $B34)&lt;&gt;0,IF($H35=0, 0, $B35)=0), 0, OFFSET(IF($H35=0, 0, $B35),MATCH(1,$I35:$I1032,0) - 1,0))=0, 0, IF((DATEDIF(IF($H35=0, 0, $B35),IF(OR(IF($H34=0, 0, $B34)&lt;&gt;0,IF($H35=0, 0, $B35)=0), 0, OFFSET(IF($H35=0, 0, $B35),MATCH(1,$I35:$I1032,0) - 1,0)),"D") &gt;= 365), XIRR(OFFSET(IF($H35=0, 0, $A35),0,0, MATCH(1,$I35:$I1032,0), 1), OFFSET(IF($H35=0, 0, $B35),0,0, MATCH(1,$I35:$I1032,0), 1), 0.1), POWER((1+XIRR(OFFSET(IF($H35=0, 0, $A35),0,0, MATCH(1,$I35:$I1032,0), 1), OFFSET(IF($H35=0, 0, $B35),0,0, MATCH(1,$I35:$I1032,0), 1), 0.1)),(DATEDIF(IF($H35=0, 0, $B35),IF(OR(IF($H34=0, 0, $B34)&lt;&gt;0,IF($H35=0, 0, $B35)=0), 0, OFFSET(IF($H35=0, 0, $B35),MATCH(1,$I35:$I1032,0) - 1,0)),"D")/365))-1))</f>
        <v>0</v>
      </c>
    </row>
    <row r="36" customFormat="false" ht="13.8" hidden="false" customHeight="false" outlineLevel="0" collapsed="false">
      <c r="A36" s="0" t="n">
        <v>-711043.05</v>
      </c>
      <c r="B36" s="8" t="n">
        <v>45016</v>
      </c>
      <c r="H36" s="17" t="n">
        <f aca="false">IF(AND(DATE($O$3,$P$3,$Q$3)&lt;=$B36, $B36&lt;=DATE($O$4,$P$4,$Q$4)), IF(AND(H37=0, $A36 &gt; 0), 0, 1), IF(AND(H37&lt;&gt;0, $A36 &gt; 0), 1, 0))</f>
        <v>0</v>
      </c>
      <c r="I36" s="17" t="n">
        <f aca="false">IF(OR($H37&lt;&gt;0,$H36=0), 0, 1)</f>
        <v>0</v>
      </c>
      <c r="J36" s="17" t="n">
        <f aca="true">IF(IF(OR(IF($H35=0, 0, $B35)&lt;&gt;0,IF($H36=0, 0, $B36)=0), 0, OFFSET(IF($H36=0, 0, $B36),MATCH(1,$I36:$I1033,0) - 1,0))=0, 0, IF((DATEDIF(IF($H36=0, 0, $B36),IF(OR(IF($H35=0, 0, $B35)&lt;&gt;0,IF($H36=0, 0, $B36)=0), 0, OFFSET(IF($H36=0, 0, $B36),MATCH(1,$I36:$I1033,0) - 1,0)),"D") &gt;= 365), XIRR(OFFSET(IF($H36=0, 0, $A36),0,0, MATCH(1,$I36:$I1033,0), 1), OFFSET(IF($H36=0, 0, $B36),0,0, MATCH(1,$I36:$I1033,0), 1), 0.1), POWER((1+XIRR(OFFSET(IF($H36=0, 0, $A36),0,0, MATCH(1,$I36:$I1033,0), 1), OFFSET(IF($H36=0, 0, $B36),0,0, MATCH(1,$I36:$I1033,0), 1), 0.1)),(DATEDIF(IF($H36=0, 0, $B36),IF(OR(IF($H35=0, 0, $B35)&lt;&gt;0,IF($H36=0, 0, $B36)=0), 0, OFFSET(IF($H36=0, 0, $B36),MATCH(1,$I36:$I1033,0) - 1,0)),"D")/365))-1))</f>
        <v>0</v>
      </c>
    </row>
    <row r="37" customFormat="false" ht="13.8" hidden="false" customHeight="false" outlineLevel="0" collapsed="false">
      <c r="A37" s="0" t="n">
        <v>711043.05</v>
      </c>
      <c r="B37" s="8" t="n">
        <v>45016</v>
      </c>
      <c r="H37" s="17" t="n">
        <f aca="false">IF(AND(DATE($O$3,$P$3,$Q$3)&lt;=$B37, $B37&lt;=DATE($O$4,$P$4,$Q$4)), IF(AND(H38=0, $A37 &gt; 0), 0, 1), IF(AND(H38&lt;&gt;0, $A37 &gt; 0), 1, 0))</f>
        <v>1</v>
      </c>
      <c r="I37" s="17" t="n">
        <f aca="false">IF(OR($H38&lt;&gt;0,$H37=0), 0, 1)</f>
        <v>0</v>
      </c>
      <c r="J37" s="17" t="n">
        <f aca="true">IF(IF(OR(IF($H36=0, 0, $B36)&lt;&gt;0,IF($H37=0, 0, $B37)=0), 0, OFFSET(IF($H37=0, 0, $B37),MATCH(1,$I37:$I1034,0) - 1,0))=0, 0, IF((DATEDIF(IF($H37=0, 0, $B37),IF(OR(IF($H36=0, 0, $B36)&lt;&gt;0,IF($H37=0, 0, $B37)=0), 0, OFFSET(IF($H37=0, 0, $B37),MATCH(1,$I37:$I1034,0) - 1,0)),"D") &gt;= 365), XIRR(OFFSET(IF($H37=0, 0, $A37),0,0, MATCH(1,$I37:$I1034,0), 1), OFFSET(IF($H37=0, 0, $B37),0,0, MATCH(1,$I37:$I1034,0), 1), 0.1), POWER((1+XIRR(OFFSET(IF($H37=0, 0, $A37),0,0, MATCH(1,$I37:$I1034,0), 1), OFFSET(IF($H37=0, 0, $B37),0,0, MATCH(1,$I37:$I1034,0), 1), 0.1)),(DATEDIF(IF($H37=0, 0, $B37),IF(OR(IF($H36=0, 0, $B36)&lt;&gt;0,IF($H37=0, 0, $B37)=0), 0, OFFSET(IF($H37=0, 0, $B37),MATCH(1,$I37:$I1034,0) - 1,0)),"D")/365))-1))</f>
        <v>0.197514128017412</v>
      </c>
    </row>
    <row r="38" customFormat="false" ht="13.8" hidden="false" customHeight="false" outlineLevel="0" collapsed="false">
      <c r="A38" s="0" t="n">
        <v>-734810.23</v>
      </c>
      <c r="B38" s="8" t="n">
        <v>45107</v>
      </c>
      <c r="H38" s="17" t="n">
        <f aca="false">IF(AND(DATE($O$3,$P$3,$Q$3)&lt;=$B38, $B38&lt;=DATE($O$4,$P$4,$Q$4)), IF(AND(H39=0, $A38 &gt; 0), 0, 1), IF(AND(H39&lt;&gt;0, $A38 &gt; 0), 1, 0))</f>
        <v>1</v>
      </c>
      <c r="I38" s="17" t="n">
        <f aca="false">IF(OR($H39&lt;&gt;0,$H38=0), 0, 1)</f>
        <v>0</v>
      </c>
      <c r="J38" s="17" t="n">
        <f aca="true">IF(IF(OR(IF($H37=0, 0, $B37)&lt;&gt;0,IF($H38=0, 0, $B38)=0), 0, OFFSET(IF($H38=0, 0, $B38),MATCH(1,$I38:$I1035,0) - 1,0))=0, 0, IF((DATEDIF(IF($H38=0, 0, $B38),IF(OR(IF($H37=0, 0, $B37)&lt;&gt;0,IF($H38=0, 0, $B38)=0), 0, OFFSET(IF($H38=0, 0, $B38),MATCH(1,$I38:$I1035,0) - 1,0)),"D") &gt;= 365), XIRR(OFFSET(IF($H38=0, 0, $A38),0,0, MATCH(1,$I38:$I1035,0), 1), OFFSET(IF($H38=0, 0, $B38),0,0, MATCH(1,$I38:$I1035,0), 1), 0.1), POWER((1+XIRR(OFFSET(IF($H38=0, 0, $A38),0,0, MATCH(1,$I38:$I1035,0), 1), OFFSET(IF($H38=0, 0, $B38),0,0, MATCH(1,$I38:$I1035,0), 1), 0.1)),(DATEDIF(IF($H38=0, 0, $B38),IF(OR(IF($H37=0, 0, $B37)&lt;&gt;0,IF($H38=0, 0, $B38)=0), 0, OFFSET(IF($H38=0, 0, $B38),MATCH(1,$I38:$I1035,0) - 1,0)),"D")/365))-1))</f>
        <v>0</v>
      </c>
    </row>
    <row r="39" customFormat="false" ht="13.8" hidden="false" customHeight="false" outlineLevel="0" collapsed="false">
      <c r="A39" s="0" t="n">
        <v>734810.23</v>
      </c>
      <c r="B39" s="8" t="n">
        <v>45107</v>
      </c>
      <c r="H39" s="17" t="n">
        <f aca="false">IF(AND(DATE($O$3,$P$3,$Q$3)&lt;=$B39, $B39&lt;=DATE($O$4,$P$4,$Q$4)), IF(AND(H40=0, $A39 &gt; 0), 0, 1), IF(AND(H40&lt;&gt;0, $A39 &gt; 0), 1, 0))</f>
        <v>1</v>
      </c>
      <c r="I39" s="17" t="n">
        <f aca="false">IF(OR($H40&lt;&gt;0,$H39=0), 0, 1)</f>
        <v>0</v>
      </c>
      <c r="J39" s="17" t="n">
        <f aca="true">IF(IF(OR(IF($H38=0, 0, $B38)&lt;&gt;0,IF($H39=0, 0, $B39)=0), 0, OFFSET(IF($H39=0, 0, $B39),MATCH(1,$I39:$I1036,0) - 1,0))=0, 0, IF((DATEDIF(IF($H39=0, 0, $B39),IF(OR(IF($H38=0, 0, $B38)&lt;&gt;0,IF($H39=0, 0, $B39)=0), 0, OFFSET(IF($H39=0, 0, $B39),MATCH(1,$I39:$I1036,0) - 1,0)),"D") &gt;= 365), XIRR(OFFSET(IF($H39=0, 0, $A39),0,0, MATCH(1,$I39:$I1036,0), 1), OFFSET(IF($H39=0, 0, $B39),0,0, MATCH(1,$I39:$I1036,0), 1), 0.1), POWER((1+XIRR(OFFSET(IF($H39=0, 0, $A39),0,0, MATCH(1,$I39:$I1036,0), 1), OFFSET(IF($H39=0, 0, $B39),0,0, MATCH(1,$I39:$I1036,0), 1), 0.1)),(DATEDIF(IF($H39=0, 0, $B39),IF(OR(IF($H38=0, 0, $B38)&lt;&gt;0,IF($H39=0, 0, $B39)=0), 0, OFFSET(IF($H39=0, 0, $B39),MATCH(1,$I39:$I1036,0) - 1,0)),"D")/365))-1))</f>
        <v>0</v>
      </c>
    </row>
    <row r="40" customFormat="false" ht="13.8" hidden="false" customHeight="false" outlineLevel="0" collapsed="false">
      <c r="A40" s="0" t="n">
        <v>-710312.63</v>
      </c>
      <c r="B40" s="8" t="n">
        <v>45199</v>
      </c>
      <c r="H40" s="17" t="n">
        <f aca="false">IF(AND(DATE($O$3,$P$3,$Q$3)&lt;=$B40, $B40&lt;=DATE($O$4,$P$4,$Q$4)), IF(AND(H41=0, $A40 &gt; 0), 0, 1), IF(AND(H41&lt;&gt;0, $A40 &gt; 0), 1, 0))</f>
        <v>1</v>
      </c>
      <c r="I40" s="17" t="n">
        <f aca="false">IF(OR($H41&lt;&gt;0,$H40=0), 0, 1)</f>
        <v>0</v>
      </c>
      <c r="J40" s="17" t="n">
        <f aca="true">IF(IF(OR(IF($H39=0, 0, $B39)&lt;&gt;0,IF($H40=0, 0, $B40)=0), 0, OFFSET(IF($H40=0, 0, $B40),MATCH(1,$I40:$I1037,0) - 1,0))=0, 0, IF((DATEDIF(IF($H40=0, 0, $B40),IF(OR(IF($H39=0, 0, $B39)&lt;&gt;0,IF($H40=0, 0, $B40)=0), 0, OFFSET(IF($H40=0, 0, $B40),MATCH(1,$I40:$I1037,0) - 1,0)),"D") &gt;= 365), XIRR(OFFSET(IF($H40=0, 0, $A40),0,0, MATCH(1,$I40:$I1037,0), 1), OFFSET(IF($H40=0, 0, $B40),0,0, MATCH(1,$I40:$I1037,0), 1), 0.1), POWER((1+XIRR(OFFSET(IF($H40=0, 0, $A40),0,0, MATCH(1,$I40:$I1037,0), 1), OFFSET(IF($H40=0, 0, $B40),0,0, MATCH(1,$I40:$I1037,0), 1), 0.1)),(DATEDIF(IF($H40=0, 0, $B40),IF(OR(IF($H39=0, 0, $B39)&lt;&gt;0,IF($H40=0, 0, $B40)=0), 0, OFFSET(IF($H40=0, 0, $B40),MATCH(1,$I40:$I1037,0) - 1,0)),"D")/365))-1))</f>
        <v>0</v>
      </c>
    </row>
    <row r="41" customFormat="false" ht="13.8" hidden="false" customHeight="false" outlineLevel="0" collapsed="false">
      <c r="A41" s="0" t="n">
        <v>710312.63</v>
      </c>
      <c r="B41" s="8" t="n">
        <v>45199</v>
      </c>
      <c r="H41" s="17" t="n">
        <f aca="false">IF(AND(DATE($O$3,$P$3,$Q$3)&lt;=$B41, $B41&lt;=DATE($O$4,$P$4,$Q$4)), IF(AND(H42=0, $A41 &gt; 0), 0, 1), IF(AND(H42&lt;&gt;0, $A41 &gt; 0), 1, 0))</f>
        <v>1</v>
      </c>
      <c r="I41" s="17" t="n">
        <f aca="false">IF(OR($H42&lt;&gt;0,$H41=0), 0, 1)</f>
        <v>0</v>
      </c>
      <c r="J41" s="17" t="n">
        <f aca="true">IF(IF(OR(IF($H40=0, 0, $B40)&lt;&gt;0,IF($H41=0, 0, $B41)=0), 0, OFFSET(IF($H41=0, 0, $B41),MATCH(1,$I41:$I1038,0) - 1,0))=0, 0, IF((DATEDIF(IF($H41=0, 0, $B41),IF(OR(IF($H40=0, 0, $B40)&lt;&gt;0,IF($H41=0, 0, $B41)=0), 0, OFFSET(IF($H41=0, 0, $B41),MATCH(1,$I41:$I1038,0) - 1,0)),"D") &gt;= 365), XIRR(OFFSET(IF($H41=0, 0, $A41),0,0, MATCH(1,$I41:$I1038,0), 1), OFFSET(IF($H41=0, 0, $B41),0,0, MATCH(1,$I41:$I1038,0), 1), 0.1), POWER((1+XIRR(OFFSET(IF($H41=0, 0, $A41),0,0, MATCH(1,$I41:$I1038,0), 1), OFFSET(IF($H41=0, 0, $B41),0,0, MATCH(1,$I41:$I1038,0), 1), 0.1)),(DATEDIF(IF($H41=0, 0, $B41),IF(OR(IF($H40=0, 0, $B40)&lt;&gt;0,IF($H41=0, 0, $B41)=0), 0, OFFSET(IF($H41=0, 0, $B41),MATCH(1,$I41:$I1038,0) - 1,0)),"D")/365))-1))</f>
        <v>0</v>
      </c>
    </row>
    <row r="42" customFormat="false" ht="13.8" hidden="false" customHeight="false" outlineLevel="0" collapsed="false">
      <c r="A42" s="0" t="n">
        <v>-777933.37</v>
      </c>
      <c r="B42" s="8" t="n">
        <v>45291</v>
      </c>
      <c r="H42" s="17" t="n">
        <f aca="false">IF(AND(DATE($O$3,$P$3,$Q$3)&lt;=$B42, $B42&lt;=DATE($O$4,$P$4,$Q$4)), IF(AND(H43=0, $A42 &gt; 0), 0, 1), IF(AND(H43&lt;&gt;0, $A42 &gt; 0), 1, 0))</f>
        <v>1</v>
      </c>
      <c r="I42" s="17" t="n">
        <f aca="false">IF(OR($H43&lt;&gt;0,$H42=0), 0, 1)</f>
        <v>0</v>
      </c>
      <c r="J42" s="17" t="n">
        <f aca="true">IF(IF(OR(IF($H41=0, 0, $B41)&lt;&gt;0,IF($H42=0, 0, $B42)=0), 0, OFFSET(IF($H42=0, 0, $B42),MATCH(1,$I42:$I1039,0) - 1,0))=0, 0, IF((DATEDIF(IF($H42=0, 0, $B42),IF(OR(IF($H41=0, 0, $B41)&lt;&gt;0,IF($H42=0, 0, $B42)=0), 0, OFFSET(IF($H42=0, 0, $B42),MATCH(1,$I42:$I1039,0) - 1,0)),"D") &gt;= 365), XIRR(OFFSET(IF($H42=0, 0, $A42),0,0, MATCH(1,$I42:$I1039,0), 1), OFFSET(IF($H42=0, 0, $B42),0,0, MATCH(1,$I42:$I1039,0), 1), 0.1), POWER((1+XIRR(OFFSET(IF($H42=0, 0, $A42),0,0, MATCH(1,$I42:$I1039,0), 1), OFFSET(IF($H42=0, 0, $B42),0,0, MATCH(1,$I42:$I1039,0), 1), 0.1)),(DATEDIF(IF($H42=0, 0, $B42),IF(OR(IF($H41=0, 0, $B41)&lt;&gt;0,IF($H42=0, 0, $B42)=0), 0, OFFSET(IF($H42=0, 0, $B42),MATCH(1,$I42:$I1039,0) - 1,0)),"D")/365))-1))</f>
        <v>0</v>
      </c>
    </row>
    <row r="43" customFormat="false" ht="13.8" hidden="false" customHeight="false" outlineLevel="0" collapsed="false">
      <c r="A43" s="0" t="n">
        <v>777933.37</v>
      </c>
      <c r="B43" s="8" t="n">
        <v>45291</v>
      </c>
      <c r="H43" s="17" t="n">
        <f aca="false">IF(AND(DATE($O$3,$P$3,$Q$3)&lt;=$B43, $B43&lt;=DATE($O$4,$P$4,$Q$4)), IF(AND(H44=0, $A43 &gt; 0), 0, 1), IF(AND(H44&lt;&gt;0, $A43 &gt; 0), 1, 0))</f>
        <v>1</v>
      </c>
      <c r="I43" s="17" t="n">
        <f aca="false">IF(OR($H44&lt;&gt;0,$H43=0), 0, 1)</f>
        <v>0</v>
      </c>
      <c r="J43" s="17" t="n">
        <f aca="true">IF(IF(OR(IF($H42=0, 0, $B42)&lt;&gt;0,IF($H43=0, 0, $B43)=0), 0, OFFSET(IF($H43=0, 0, $B43),MATCH(1,$I43:$I1040,0) - 1,0))=0, 0, IF((DATEDIF(IF($H43=0, 0, $B43),IF(OR(IF($H42=0, 0, $B42)&lt;&gt;0,IF($H43=0, 0, $B43)=0), 0, OFFSET(IF($H43=0, 0, $B43),MATCH(1,$I43:$I1040,0) - 1,0)),"D") &gt;= 365), XIRR(OFFSET(IF($H43=0, 0, $A43),0,0, MATCH(1,$I43:$I1040,0), 1), OFFSET(IF($H43=0, 0, $B43),0,0, MATCH(1,$I43:$I1040,0), 1), 0.1), POWER((1+XIRR(OFFSET(IF($H43=0, 0, $A43),0,0, MATCH(1,$I43:$I1040,0), 1), OFFSET(IF($H43=0, 0, $B43),0,0, MATCH(1,$I43:$I1040,0), 1), 0.1)),(DATEDIF(IF($H43=0, 0, $B43),IF(OR(IF($H42=0, 0, $B42)&lt;&gt;0,IF($H43=0, 0, $B43)=0), 0, OFFSET(IF($H43=0, 0, $B43),MATCH(1,$I43:$I1040,0) - 1,0)),"D")/365))-1))</f>
        <v>0</v>
      </c>
    </row>
    <row r="44" customFormat="false" ht="13.8" hidden="false" customHeight="false" outlineLevel="0" collapsed="false">
      <c r="A44" s="0" t="n">
        <v>-851904.69</v>
      </c>
      <c r="B44" s="8" t="n">
        <v>45382</v>
      </c>
      <c r="H44" s="17" t="n">
        <f aca="false">IF(AND(DATE($O$3,$P$3,$Q$3)&lt;=$B44, $B44&lt;=DATE($O$4,$P$4,$Q$4)), IF(AND(H45=0, $A44 &gt; 0), 0, 1), IF(AND(H45&lt;&gt;0, $A44 &gt; 0), 1, 0))</f>
        <v>1</v>
      </c>
      <c r="I44" s="17" t="n">
        <f aca="false">IF(OR($H45&lt;&gt;0,$H44=0), 0, 1)</f>
        <v>1</v>
      </c>
      <c r="J44" s="17" t="n">
        <f aca="true">IF(IF(OR(IF($H43=0, 0, $B43)&lt;&gt;0,IF($H44=0, 0, $B44)=0), 0, OFFSET(IF($H44=0, 0, $B44),MATCH(1,$I44:$I1041,0) - 1,0))=0, 0, IF((DATEDIF(IF($H44=0, 0, $B44),IF(OR(IF($H43=0, 0, $B43)&lt;&gt;0,IF($H44=0, 0, $B44)=0), 0, OFFSET(IF($H44=0, 0, $B44),MATCH(1,$I44:$I1041,0) - 1,0)),"D") &gt;= 365), XIRR(OFFSET(IF($H44=0, 0, $A44),0,0, MATCH(1,$I44:$I1041,0), 1), OFFSET(IF($H44=0, 0, $B44),0,0, MATCH(1,$I44:$I1041,0), 1), 0.1), POWER((1+XIRR(OFFSET(IF($H44=0, 0, $A44),0,0, MATCH(1,$I44:$I1041,0), 1), OFFSET(IF($H44=0, 0, $B44),0,0, MATCH(1,$I44:$I1041,0), 1), 0.1)),(DATEDIF(IF($H44=0, 0, $B44),IF(OR(IF($H43=0, 0, $B43)&lt;&gt;0,IF($H44=0, 0, $B44)=0), 0, OFFSET(IF($H44=0, 0, $B44),MATCH(1,$I44:$I1041,0) - 1,0)),"D")/365))-1))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4:O71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K39" activeCellId="0" sqref="K39"/>
    </sheetView>
  </sheetViews>
  <sheetFormatPr defaultColWidth="11.54296875" defaultRowHeight="14.25" zeroHeight="false" outlineLevelRow="1" outlineLevelCol="0"/>
  <cols>
    <col collapsed="false" customWidth="true" hidden="false" outlineLevel="0" max="2" min="2" style="0" width="14.27"/>
    <col collapsed="false" customWidth="true" hidden="false" outlineLevel="0" max="5" min="5" style="0" width="14.27"/>
    <col collapsed="false" customWidth="true" hidden="false" outlineLevel="0" max="8" min="8" style="0" width="14.27"/>
  </cols>
  <sheetData>
    <row r="4" customFormat="false" ht="13.8" hidden="false" customHeight="false" outlineLevel="0" collapsed="false">
      <c r="B4" s="0" t="s">
        <v>39</v>
      </c>
      <c r="E4" s="0" t="s">
        <v>39</v>
      </c>
      <c r="H4" s="0" t="s">
        <v>39</v>
      </c>
      <c r="K4" s="0" t="s">
        <v>39</v>
      </c>
    </row>
    <row r="5" customFormat="false" ht="13.8" hidden="false" customHeight="false" outlineLevel="0" collapsed="false">
      <c r="B5" s="0" t="s">
        <v>40</v>
      </c>
      <c r="C5" s="0" t="s">
        <v>41</v>
      </c>
      <c r="E5" s="0" t="s">
        <v>40</v>
      </c>
      <c r="F5" s="0" t="s">
        <v>42</v>
      </c>
      <c r="H5" s="0" t="s">
        <v>40</v>
      </c>
      <c r="I5" s="0" t="s">
        <v>43</v>
      </c>
      <c r="K5" s="0" t="s">
        <v>40</v>
      </c>
      <c r="L5" s="0" t="s">
        <v>44</v>
      </c>
    </row>
    <row r="6" customFormat="false" ht="13.8" hidden="false" customHeight="false" outlineLevel="0" collapsed="false">
      <c r="B6" s="15" t="s">
        <v>45</v>
      </c>
      <c r="C6" s="16"/>
      <c r="E6" s="15" t="s">
        <v>45</v>
      </c>
      <c r="F6" s="16"/>
      <c r="H6" s="15" t="s">
        <v>45</v>
      </c>
      <c r="I6" s="16"/>
      <c r="K6" s="15" t="s">
        <v>45</v>
      </c>
      <c r="L6" s="16"/>
    </row>
    <row r="7" customFormat="false" ht="13.8" hidden="false" customHeight="false" outlineLevel="0" collapsed="false">
      <c r="B7" s="15" t="n">
        <v>1000000</v>
      </c>
      <c r="C7" s="16" t="n">
        <v>44561</v>
      </c>
      <c r="E7" s="15" t="n">
        <v>1000000</v>
      </c>
      <c r="F7" s="16" t="n">
        <f aca="false">DATE(2018,12,31)</f>
        <v>43465</v>
      </c>
      <c r="H7" s="15" t="n">
        <v>1000000</v>
      </c>
      <c r="I7" s="16" t="n">
        <v>43465</v>
      </c>
      <c r="K7" s="0" t="n">
        <v>272251.44</v>
      </c>
      <c r="L7" s="8" t="n">
        <v>43465</v>
      </c>
      <c r="N7" s="0" t="n">
        <v>272251.44</v>
      </c>
      <c r="O7" s="8" t="n">
        <v>43465</v>
      </c>
    </row>
    <row r="8" customFormat="false" ht="13.8" hidden="false" customHeight="false" outlineLevel="0" collapsed="false">
      <c r="B8" s="15" t="n">
        <v>960736.72193756</v>
      </c>
      <c r="C8" s="16" t="n">
        <v>44651</v>
      </c>
      <c r="E8" s="15" t="n">
        <v>1128110.6596362</v>
      </c>
      <c r="F8" s="16" t="n">
        <f aca="false">DATE(2019,3,31)</f>
        <v>43555</v>
      </c>
      <c r="H8" s="15" t="n">
        <v>1122848.04</v>
      </c>
      <c r="I8" s="16" t="n">
        <v>43555</v>
      </c>
      <c r="K8" s="0" t="n">
        <v>282173.75</v>
      </c>
      <c r="L8" s="8" t="n">
        <v>43496</v>
      </c>
      <c r="N8" s="0" t="n">
        <v>-293517.57</v>
      </c>
      <c r="O8" s="8" t="n">
        <v>43555</v>
      </c>
    </row>
    <row r="9" customFormat="false" ht="13.8" hidden="false" customHeight="false" outlineLevel="0" collapsed="false">
      <c r="B9" s="15" t="n">
        <v>807421.87959756</v>
      </c>
      <c r="C9" s="16" t="n">
        <v>44742</v>
      </c>
      <c r="E9" s="15" t="n">
        <v>1153231.67</v>
      </c>
      <c r="F9" s="16" t="n">
        <f aca="false">DATE(2019,6,30)</f>
        <v>43646</v>
      </c>
      <c r="H9" s="15" t="n">
        <v>1151971.83</v>
      </c>
      <c r="I9" s="16" t="n">
        <v>43646</v>
      </c>
      <c r="K9" s="0" t="n">
        <v>299391.18</v>
      </c>
      <c r="L9" s="8" t="n">
        <v>43524</v>
      </c>
      <c r="N9" s="0" t="n">
        <v>293517.57</v>
      </c>
      <c r="O9" s="8" t="n">
        <v>43555</v>
      </c>
    </row>
    <row r="10" customFormat="false" ht="13.8" hidden="false" customHeight="false" outlineLevel="0" collapsed="false">
      <c r="B10" s="15" t="n">
        <v>823069.60172465</v>
      </c>
      <c r="C10" s="16" t="n">
        <v>44834</v>
      </c>
      <c r="E10" s="15" t="n">
        <v>1202260.62359174</v>
      </c>
      <c r="F10" s="16" t="n">
        <f aca="false">DATE(2019,9,30)</f>
        <v>43738</v>
      </c>
      <c r="H10" s="15" t="n">
        <v>1192472.05</v>
      </c>
      <c r="I10" s="16" t="n">
        <v>43738</v>
      </c>
      <c r="K10" s="0" t="n">
        <v>293517.57</v>
      </c>
      <c r="L10" s="8" t="n">
        <v>43553</v>
      </c>
      <c r="N10" s="0" t="n">
        <v>-298458.24</v>
      </c>
      <c r="O10" s="8" t="n">
        <v>43646</v>
      </c>
    </row>
    <row r="11" customFormat="false" ht="13.8" hidden="false" customHeight="false" outlineLevel="0" collapsed="false">
      <c r="B11" s="15" t="n">
        <v>910170.066936</v>
      </c>
      <c r="C11" s="16" t="n">
        <v>44926</v>
      </c>
      <c r="E11" s="15" t="n">
        <v>1241777.475196</v>
      </c>
      <c r="F11" s="16" t="n">
        <f aca="false">DATE(2019,12,31)</f>
        <v>43830</v>
      </c>
      <c r="H11" s="15" t="n">
        <v>1255905.93</v>
      </c>
      <c r="I11" s="16" t="n">
        <v>43830</v>
      </c>
      <c r="K11" s="0" t="n">
        <v>303149.4</v>
      </c>
      <c r="L11" s="8" t="n">
        <v>43585</v>
      </c>
      <c r="N11" s="0" t="n">
        <v>298458.24</v>
      </c>
      <c r="O11" s="8" t="n">
        <v>43646</v>
      </c>
    </row>
    <row r="12" customFormat="false" ht="13.8" hidden="false" customHeight="false" outlineLevel="0" collapsed="false">
      <c r="B12" s="15" t="n">
        <v>954666.1707545</v>
      </c>
      <c r="C12" s="16" t="n">
        <v>45016</v>
      </c>
      <c r="E12" s="15" t="n">
        <v>1068530.45750144</v>
      </c>
      <c r="F12" s="16" t="n">
        <f aca="false">DATE(2020,3,31)</f>
        <v>43921</v>
      </c>
      <c r="H12" s="15" t="n">
        <v>1070288.82962118</v>
      </c>
      <c r="I12" s="16" t="n">
        <v>43921</v>
      </c>
      <c r="K12" s="0" t="n">
        <v>284359.46</v>
      </c>
      <c r="L12" s="8" t="n">
        <v>43616</v>
      </c>
      <c r="N12" s="0" t="n">
        <v>-482183.29</v>
      </c>
      <c r="O12" s="8" t="n">
        <v>43738</v>
      </c>
    </row>
    <row r="13" customFormat="false" ht="13.8" hidden="false" customHeight="false" outlineLevel="1" collapsed="false">
      <c r="B13" s="15" t="n">
        <v>973102.3019345</v>
      </c>
      <c r="C13" s="16" t="n">
        <v>45107</v>
      </c>
      <c r="E13" s="15" t="n">
        <v>1202271.15201529</v>
      </c>
      <c r="F13" s="16" t="n">
        <f aca="false">DATE(2020,6,30)</f>
        <v>44012</v>
      </c>
      <c r="H13" s="15" t="n">
        <v>1257391.8148768</v>
      </c>
      <c r="I13" s="16" t="n">
        <v>44012</v>
      </c>
      <c r="K13" s="0" t="n">
        <v>298458.24</v>
      </c>
      <c r="L13" s="8" t="n">
        <v>43644</v>
      </c>
      <c r="N13" s="0" t="n">
        <v>482183.29</v>
      </c>
      <c r="O13" s="8" t="n">
        <v>43738</v>
      </c>
    </row>
    <row r="14" customFormat="false" ht="13.8" hidden="false" customHeight="false" outlineLevel="1" collapsed="false">
      <c r="B14" s="15" t="n">
        <v>971912.37326757</v>
      </c>
      <c r="C14" s="16" t="n">
        <v>45199</v>
      </c>
      <c r="E14" s="15" t="n">
        <v>1275309.62258847</v>
      </c>
      <c r="F14" s="16" t="n">
        <f aca="false">DATE(2020,9,30)</f>
        <v>44104</v>
      </c>
      <c r="H14" s="15" t="n">
        <v>1349411.62072268</v>
      </c>
      <c r="I14" s="16" t="n">
        <v>44104</v>
      </c>
      <c r="K14" s="0" t="n">
        <v>478180.26</v>
      </c>
      <c r="L14" s="8" t="n">
        <v>43677</v>
      </c>
      <c r="N14" s="0" t="n">
        <v>-506247.16</v>
      </c>
      <c r="O14" s="8" t="n">
        <v>43830</v>
      </c>
    </row>
    <row r="15" customFormat="false" ht="13.8" hidden="false" customHeight="false" outlineLevel="1" collapsed="false">
      <c r="B15" s="15" t="n">
        <v>1064255.936208</v>
      </c>
      <c r="C15" s="16" t="n">
        <v>45291</v>
      </c>
      <c r="E15" s="15" t="n">
        <v>1391689.64685847</v>
      </c>
      <c r="F15" s="16" t="n">
        <f aca="false">DATE(2020,12,31)</f>
        <v>44196</v>
      </c>
      <c r="H15" s="15" t="n">
        <v>1486571.89254575</v>
      </c>
      <c r="I15" s="16" t="n">
        <v>44196</v>
      </c>
      <c r="K15" s="0" t="n">
        <v>471735.48</v>
      </c>
      <c r="L15" s="8" t="n">
        <v>43707</v>
      </c>
      <c r="N15" s="0" t="n">
        <v>506247.16</v>
      </c>
      <c r="O15" s="8" t="n">
        <v>43830</v>
      </c>
    </row>
    <row r="16" customFormat="false" ht="13.8" hidden="false" customHeight="false" outlineLevel="1" collapsed="false">
      <c r="B16" s="15" t="n">
        <v>1100000</v>
      </c>
      <c r="C16" s="16" t="n">
        <v>45382</v>
      </c>
      <c r="E16" s="15" t="n">
        <v>1469797.27487</v>
      </c>
      <c r="F16" s="16" t="n">
        <f aca="false">DATE(2021,3,31)</f>
        <v>44286</v>
      </c>
      <c r="H16" s="15" t="n">
        <v>1596538.34022334</v>
      </c>
      <c r="I16" s="16" t="n">
        <v>44286</v>
      </c>
      <c r="K16" s="0" t="n">
        <v>482183.29</v>
      </c>
      <c r="L16" s="8" t="n">
        <v>43738</v>
      </c>
      <c r="N16" s="0" t="n">
        <v>-436555.35</v>
      </c>
      <c r="O16" s="8" t="n">
        <v>43921</v>
      </c>
    </row>
    <row r="17" customFormat="false" ht="13.8" hidden="false" customHeight="false" outlineLevel="1" collapsed="false">
      <c r="B17" s="0" t="s">
        <v>46</v>
      </c>
      <c r="C17" s="16"/>
      <c r="E17" s="15" t="n">
        <v>1586071.36329795</v>
      </c>
      <c r="F17" s="16" t="n">
        <f aca="false">DATE(2021,6,30)</f>
        <v>44377</v>
      </c>
      <c r="H17" s="15" t="n">
        <v>1729758.29129219</v>
      </c>
      <c r="I17" s="16" t="n">
        <v>44377</v>
      </c>
      <c r="K17" s="0" t="n">
        <v>487893.01</v>
      </c>
      <c r="L17" s="8" t="n">
        <v>43769</v>
      </c>
      <c r="N17" s="0" t="n">
        <v>436555.35</v>
      </c>
      <c r="O17" s="8" t="n">
        <v>43921</v>
      </c>
    </row>
    <row r="18" customFormat="false" ht="13.8" hidden="false" customHeight="false" outlineLevel="1" collapsed="false">
      <c r="B18" s="15"/>
      <c r="E18" s="15" t="n">
        <v>1653741.83256237</v>
      </c>
      <c r="F18" s="16" t="n">
        <f aca="false">DATE(2021,9,30)</f>
        <v>44469</v>
      </c>
      <c r="H18" s="15" t="n">
        <v>1823565.33355762</v>
      </c>
      <c r="I18" s="16" t="n">
        <v>44469</v>
      </c>
      <c r="K18" s="0" t="n">
        <v>505793.92</v>
      </c>
      <c r="L18" s="8" t="n">
        <v>43798</v>
      </c>
      <c r="N18" s="0" t="n">
        <v>-507848.12</v>
      </c>
      <c r="O18" s="8" t="n">
        <v>44012</v>
      </c>
    </row>
    <row r="19" customFormat="false" ht="13.8" hidden="false" customHeight="false" outlineLevel="1" collapsed="false">
      <c r="B19" s="15"/>
      <c r="E19" s="15" t="n">
        <v>1806808.532842</v>
      </c>
      <c r="F19" s="16" t="n">
        <f aca="false">DATE(2021,12,31)</f>
        <v>44561</v>
      </c>
      <c r="H19" s="15" t="n">
        <v>1970998.205802</v>
      </c>
      <c r="I19" s="16" t="n">
        <v>44561</v>
      </c>
      <c r="K19" s="0" t="n">
        <v>506247.16</v>
      </c>
      <c r="L19" s="8" t="n">
        <v>43830</v>
      </c>
      <c r="N19" s="0" t="n">
        <v>507848.12</v>
      </c>
      <c r="O19" s="8" t="n">
        <v>44012</v>
      </c>
    </row>
    <row r="20" customFormat="false" ht="13.8" hidden="false" customHeight="false" outlineLevel="1" collapsed="false">
      <c r="B20" s="15"/>
      <c r="E20" s="15" t="n">
        <v>1745231.99705568</v>
      </c>
      <c r="F20" s="16" t="n">
        <f aca="false">DATE(2022,3,31)</f>
        <v>44651</v>
      </c>
      <c r="H20" s="15" t="n">
        <v>1877898.72889612</v>
      </c>
      <c r="I20" s="16" t="n">
        <v>44651</v>
      </c>
      <c r="K20" s="0" t="n">
        <v>518142.61</v>
      </c>
      <c r="L20" s="8" t="n">
        <v>43861</v>
      </c>
      <c r="N20" s="0" t="n">
        <v>-543785.4</v>
      </c>
      <c r="O20" s="8" t="n">
        <v>44104</v>
      </c>
    </row>
    <row r="21" customFormat="false" ht="13.8" hidden="false" customHeight="false" outlineLevel="1" collapsed="false">
      <c r="B21" s="15"/>
      <c r="E21" s="15" t="n">
        <v>1526457.74612542</v>
      </c>
      <c r="F21" s="16" t="n">
        <f aca="false">DATE(2022,6,30)</f>
        <v>44742</v>
      </c>
      <c r="H21" s="15" t="n">
        <v>1598202.39364758</v>
      </c>
      <c r="I21" s="16" t="n">
        <v>44742</v>
      </c>
      <c r="K21" s="0" t="n">
        <v>485896.5</v>
      </c>
      <c r="L21" s="8" t="n">
        <v>43889</v>
      </c>
      <c r="N21" s="0" t="n">
        <v>543785.4</v>
      </c>
      <c r="O21" s="8" t="n">
        <v>44104</v>
      </c>
    </row>
    <row r="22" customFormat="false" ht="13.8" hidden="false" customHeight="false" outlineLevel="1" collapsed="false">
      <c r="B22" s="15"/>
      <c r="E22" s="15" t="n">
        <v>1538101.02362322</v>
      </c>
      <c r="F22" s="16" t="n">
        <f aca="false">DATE(2022,9,30)</f>
        <v>44834</v>
      </c>
      <c r="H22" s="15" t="n">
        <v>1656915.01782113</v>
      </c>
      <c r="I22" s="16" t="n">
        <v>44834</v>
      </c>
      <c r="K22" s="0" t="n">
        <v>436555.35</v>
      </c>
      <c r="L22" s="8" t="n">
        <v>43921</v>
      </c>
      <c r="N22" s="0" t="n">
        <v>-596392.77</v>
      </c>
      <c r="O22" s="8" t="n">
        <v>44196</v>
      </c>
    </row>
    <row r="23" customFormat="false" ht="13.8" hidden="false" customHeight="false" outlineLevel="1" collapsed="false">
      <c r="B23" s="15"/>
      <c r="E23" s="15" t="n">
        <v>1572346.16399166</v>
      </c>
      <c r="F23" s="16" t="n">
        <f aca="false">DATE(2022,12,31)</f>
        <v>44926</v>
      </c>
      <c r="H23" s="15" t="n">
        <v>1724799.60802293</v>
      </c>
      <c r="I23" s="16" t="n">
        <v>44926</v>
      </c>
      <c r="K23" s="0" t="n">
        <v>475876.29</v>
      </c>
      <c r="L23" s="8" t="n">
        <v>43951</v>
      </c>
      <c r="N23" s="0" t="n">
        <v>596392.77</v>
      </c>
      <c r="O23" s="8" t="n">
        <v>44196</v>
      </c>
    </row>
    <row r="24" customFormat="false" ht="13.8" hidden="false" customHeight="false" outlineLevel="1" collapsed="false">
      <c r="B24" s="15"/>
      <c r="E24" s="15" t="n">
        <v>1643682.50489854</v>
      </c>
      <c r="F24" s="16" t="n">
        <f aca="false">DATE(2023,3,31)</f>
        <v>45016</v>
      </c>
      <c r="H24" s="15" t="n">
        <v>1814329.3430901</v>
      </c>
      <c r="I24" s="16" t="n">
        <v>45016</v>
      </c>
      <c r="K24" s="0" t="n">
        <v>494251.01</v>
      </c>
      <c r="L24" s="8" t="n">
        <v>43980</v>
      </c>
      <c r="N24" s="0" t="n">
        <v>-639716.88</v>
      </c>
      <c r="O24" s="8" t="n">
        <v>44286</v>
      </c>
    </row>
    <row r="25" customFormat="false" ht="13.8" hidden="false" customHeight="false" outlineLevel="1" collapsed="false">
      <c r="E25" s="15" t="n">
        <v>1677725.18656138</v>
      </c>
      <c r="F25" s="16" t="n">
        <f aca="false">DATE(2023,6,30)</f>
        <v>45107</v>
      </c>
      <c r="G25" s="0" t="s">
        <v>36</v>
      </c>
      <c r="H25" s="15" t="n">
        <v>1878131.16155072</v>
      </c>
      <c r="I25" s="16" t="n">
        <v>45107</v>
      </c>
      <c r="K25" s="0" t="n">
        <v>507848.12</v>
      </c>
      <c r="L25" s="8" t="n">
        <v>44012</v>
      </c>
      <c r="N25" s="0" t="n">
        <v>639716.88</v>
      </c>
      <c r="O25" s="8" t="n">
        <v>44286</v>
      </c>
    </row>
    <row r="26" customFormat="false" ht="13.8" hidden="false" customHeight="false" outlineLevel="1" collapsed="false">
      <c r="E26" s="15" t="n">
        <v>1621284.88179326</v>
      </c>
      <c r="F26" s="16" t="n">
        <f aca="false">DATE(2023,9,30)</f>
        <v>45199</v>
      </c>
      <c r="H26" s="15" t="n">
        <v>1821126.41688815</v>
      </c>
      <c r="I26" s="16" t="n">
        <v>45199</v>
      </c>
      <c r="K26" s="0" t="n">
        <v>530197.81</v>
      </c>
      <c r="L26" s="8" t="n">
        <v>44043</v>
      </c>
      <c r="N26" s="0" t="n">
        <v>-690513.81</v>
      </c>
      <c r="O26" s="8" t="n">
        <v>44377</v>
      </c>
    </row>
    <row r="27" customFormat="false" ht="13.8" hidden="false" customHeight="false" outlineLevel="1" collapsed="false">
      <c r="E27" s="15" t="n">
        <v>1786989.27293728</v>
      </c>
      <c r="F27" s="16" t="n">
        <f aca="false">DATE(2023,12,31)</f>
        <v>45291</v>
      </c>
      <c r="H27" s="15" t="n">
        <v>2019865.13373583</v>
      </c>
      <c r="I27" s="16" t="n">
        <v>45291</v>
      </c>
      <c r="K27" s="0" t="n">
        <v>525234.55</v>
      </c>
      <c r="L27" s="8" t="n">
        <v>44074</v>
      </c>
      <c r="N27" s="0" t="n">
        <v>690513.81</v>
      </c>
      <c r="O27" s="8" t="n">
        <v>44377</v>
      </c>
    </row>
    <row r="28" customFormat="false" ht="13.8" hidden="false" customHeight="false" outlineLevel="1" collapsed="false">
      <c r="E28" s="15" t="n">
        <v>2000000</v>
      </c>
      <c r="F28" s="16" t="n">
        <f aca="false">DATE(2024,3,31)</f>
        <v>45382</v>
      </c>
      <c r="H28" s="27" t="n">
        <v>2100000</v>
      </c>
      <c r="I28" s="16" t="n">
        <f aca="false">DATE(2024,3,31)</f>
        <v>45382</v>
      </c>
      <c r="K28" s="0" t="n">
        <v>543785.4</v>
      </c>
      <c r="L28" s="8" t="n">
        <v>44104</v>
      </c>
      <c r="N28" s="0" t="n">
        <v>-727283.51</v>
      </c>
      <c r="O28" s="8" t="n">
        <v>44469</v>
      </c>
    </row>
    <row r="29" customFormat="false" ht="13.8" hidden="false" customHeight="false" outlineLevel="1" collapsed="false">
      <c r="E29" s="0" t="s">
        <v>46</v>
      </c>
      <c r="H29" s="0" t="s">
        <v>46</v>
      </c>
      <c r="K29" s="0" t="n">
        <v>531949.56</v>
      </c>
      <c r="L29" s="8" t="n">
        <v>44134</v>
      </c>
      <c r="N29" s="0" t="n">
        <v>727283.51</v>
      </c>
      <c r="O29" s="8" t="n">
        <v>44469</v>
      </c>
    </row>
    <row r="30" customFormat="false" ht="13.8" hidden="false" customHeight="false" outlineLevel="1" collapsed="false">
      <c r="K30" s="0" t="n">
        <v>584162.42</v>
      </c>
      <c r="L30" s="8" t="n">
        <v>44165</v>
      </c>
      <c r="N30" s="0" t="n">
        <v>-783342.92</v>
      </c>
      <c r="O30" s="8" t="n">
        <v>44561</v>
      </c>
    </row>
    <row r="31" customFormat="false" ht="13.8" hidden="false" customHeight="false" outlineLevel="1" collapsed="false">
      <c r="K31" s="0" t="n">
        <v>596392.77</v>
      </c>
      <c r="L31" s="8" t="n">
        <v>44196</v>
      </c>
      <c r="N31" s="0" t="n">
        <v>783342.92</v>
      </c>
      <c r="O31" s="8" t="n">
        <v>44561</v>
      </c>
    </row>
    <row r="32" customFormat="false" ht="13.8" hidden="false" customHeight="false" outlineLevel="1" collapsed="false">
      <c r="K32" s="0" t="n">
        <v>593254.87</v>
      </c>
      <c r="L32" s="8" t="n">
        <v>44225</v>
      </c>
      <c r="N32" s="0" t="n">
        <v>-744973.96</v>
      </c>
      <c r="O32" s="8" t="n">
        <v>44651</v>
      </c>
    </row>
    <row r="33" customFormat="false" ht="13.8" hidden="false" customHeight="false" outlineLevel="1" collapsed="false">
      <c r="K33" s="0" t="n">
        <v>612379.73</v>
      </c>
      <c r="L33" s="8" t="n">
        <v>44253</v>
      </c>
      <c r="N33" s="0" t="n">
        <v>744973.96</v>
      </c>
      <c r="O33" s="8" t="n">
        <v>44651</v>
      </c>
    </row>
    <row r="34" customFormat="false" ht="13.8" hidden="false" customHeight="false" outlineLevel="1" collapsed="false">
      <c r="K34" s="0" t="n">
        <v>639716.88</v>
      </c>
      <c r="L34" s="8" t="n">
        <v>44286</v>
      </c>
      <c r="N34" s="0" t="n">
        <v>-631404.74</v>
      </c>
      <c r="O34" s="8" t="n">
        <v>44742</v>
      </c>
    </row>
    <row r="35" customFormat="false" ht="13.8" hidden="false" customHeight="false" outlineLevel="1" collapsed="false">
      <c r="K35" s="0" t="n">
        <v>658649.42</v>
      </c>
      <c r="L35" s="8" t="n">
        <v>44316</v>
      </c>
      <c r="N35" s="0" t="n">
        <v>631404.74</v>
      </c>
      <c r="O35" s="8" t="n">
        <v>44742</v>
      </c>
    </row>
    <row r="36" customFormat="false" ht="13.8" hidden="false" customHeight="false" outlineLevel="1" collapsed="false">
      <c r="K36" s="0" t="n">
        <v>664705.69</v>
      </c>
      <c r="L36" s="8" t="n">
        <v>44347</v>
      </c>
      <c r="N36" s="0" t="n">
        <v>-649886.34</v>
      </c>
      <c r="O36" s="8" t="n">
        <v>44834</v>
      </c>
    </row>
    <row r="37" customFormat="false" ht="13.8" hidden="false" customHeight="false" outlineLevel="1" collapsed="false">
      <c r="K37" s="0" t="n">
        <v>690513.81</v>
      </c>
      <c r="L37" s="8" t="n">
        <v>44377</v>
      </c>
      <c r="N37" s="0" t="n">
        <v>649886.34</v>
      </c>
      <c r="O37" s="8" t="n">
        <v>44834</v>
      </c>
    </row>
    <row r="38" customFormat="false" ht="13.8" hidden="false" customHeight="false" outlineLevel="1" collapsed="false">
      <c r="K38" s="0" t="n">
        <v>711536.16</v>
      </c>
      <c r="L38" s="8" t="n">
        <v>44407</v>
      </c>
      <c r="N38" s="0" t="n">
        <v>-676935.56</v>
      </c>
      <c r="O38" s="8" t="n">
        <v>44926</v>
      </c>
    </row>
    <row r="39" customFormat="false" ht="13.8" hidden="false" customHeight="false" outlineLevel="1" collapsed="false">
      <c r="K39" s="0" t="n">
        <v>740103.03</v>
      </c>
      <c r="L39" s="8" t="n">
        <v>44439</v>
      </c>
      <c r="N39" s="0" t="n">
        <v>676935.56</v>
      </c>
      <c r="O39" s="8" t="n">
        <v>44926</v>
      </c>
    </row>
    <row r="40" customFormat="false" ht="13.8" hidden="false" customHeight="false" outlineLevel="1" collapsed="false">
      <c r="K40" s="0" t="n">
        <v>727283.51</v>
      </c>
      <c r="L40" s="8" t="n">
        <v>44469</v>
      </c>
      <c r="N40" s="0" t="n">
        <v>-711043.05</v>
      </c>
      <c r="O40" s="8" t="n">
        <v>45016</v>
      </c>
    </row>
    <row r="41" customFormat="false" ht="13.8" hidden="false" customHeight="false" outlineLevel="1" collapsed="false">
      <c r="K41" s="0" t="n">
        <v>747407.9</v>
      </c>
      <c r="L41" s="8" t="n">
        <v>44498</v>
      </c>
      <c r="N41" s="0" t="n">
        <v>711043.05</v>
      </c>
      <c r="O41" s="8" t="n">
        <v>45016</v>
      </c>
    </row>
    <row r="42" customFormat="false" ht="13.8" hidden="false" customHeight="false" outlineLevel="1" collapsed="false">
      <c r="K42" s="0" t="n">
        <v>756879.53</v>
      </c>
      <c r="L42" s="8" t="n">
        <v>44530</v>
      </c>
      <c r="N42" s="0" t="n">
        <v>-734810.23</v>
      </c>
      <c r="O42" s="8" t="n">
        <v>45107</v>
      </c>
    </row>
    <row r="43" customFormat="false" ht="13.8" hidden="false" customHeight="false" outlineLevel="1" collapsed="false">
      <c r="K43" s="0" t="n">
        <v>783342.92</v>
      </c>
      <c r="L43" s="8" t="n">
        <v>44561</v>
      </c>
      <c r="N43" s="0" t="n">
        <v>734810.23</v>
      </c>
      <c r="O43" s="8" t="n">
        <v>45107</v>
      </c>
    </row>
    <row r="44" customFormat="false" ht="13.8" hidden="false" customHeight="false" outlineLevel="1" collapsed="false">
      <c r="K44" s="0" t="n">
        <v>748151.24</v>
      </c>
      <c r="L44" s="8" t="n">
        <v>44592</v>
      </c>
      <c r="N44" s="0" t="n">
        <v>-710312.63</v>
      </c>
      <c r="O44" s="8" t="n">
        <v>45199</v>
      </c>
    </row>
    <row r="45" customFormat="false" ht="13.8" hidden="false" customHeight="false" outlineLevel="1" collapsed="false">
      <c r="K45" s="0" t="n">
        <v>733695.16</v>
      </c>
      <c r="L45" s="8" t="n">
        <v>44620</v>
      </c>
      <c r="N45" s="0" t="n">
        <v>710312.63</v>
      </c>
      <c r="O45" s="8" t="n">
        <v>45199</v>
      </c>
    </row>
    <row r="46" customFormat="false" ht="13.8" hidden="false" customHeight="false" outlineLevel="1" collapsed="false">
      <c r="K46" s="0" t="n">
        <v>744973.96</v>
      </c>
      <c r="L46" s="8" t="n">
        <v>44651</v>
      </c>
      <c r="N46" s="0" t="n">
        <v>-777933.37</v>
      </c>
      <c r="O46" s="8" t="n">
        <v>45291</v>
      </c>
    </row>
    <row r="47" customFormat="false" ht="13.8" hidden="false" customHeight="false" outlineLevel="1" collapsed="false">
      <c r="K47" s="0" t="n">
        <v>687872.8</v>
      </c>
      <c r="L47" s="8" t="n">
        <v>44680</v>
      </c>
      <c r="N47" s="0" t="n">
        <v>777933.37</v>
      </c>
      <c r="O47" s="8" t="n">
        <v>45291</v>
      </c>
    </row>
    <row r="48" customFormat="false" ht="13.8" hidden="false" customHeight="false" outlineLevel="0" collapsed="false">
      <c r="K48" s="0" t="n">
        <v>688319.37</v>
      </c>
      <c r="L48" s="8" t="n">
        <v>44712</v>
      </c>
      <c r="N48" s="0" t="n">
        <v>-851904.69</v>
      </c>
      <c r="O48" s="8" t="n">
        <v>45382</v>
      </c>
    </row>
    <row r="49" customFormat="false" ht="13.8" hidden="false" customHeight="false" outlineLevel="0" collapsed="false">
      <c r="K49" s="0" t="n">
        <v>631404.74</v>
      </c>
      <c r="L49" s="8" t="n">
        <v>44742</v>
      </c>
    </row>
    <row r="50" customFormat="false" ht="13.8" hidden="false" customHeight="false" outlineLevel="0" collapsed="false">
      <c r="K50" s="0" t="n">
        <v>690723.84</v>
      </c>
      <c r="L50" s="8" t="n">
        <v>44771</v>
      </c>
    </row>
    <row r="51" customFormat="false" ht="13.8" hidden="false" customHeight="false" outlineLevel="0" collapsed="false">
      <c r="K51" s="0" t="n">
        <v>677064.81</v>
      </c>
      <c r="L51" s="8" t="n">
        <v>44804</v>
      </c>
    </row>
    <row r="52" customFormat="false" ht="13.8" hidden="false" customHeight="false" outlineLevel="0" collapsed="false">
      <c r="K52" s="0" t="n">
        <v>649886.34</v>
      </c>
      <c r="L52" s="8" t="n">
        <v>44834</v>
      </c>
    </row>
    <row r="53" customFormat="false" ht="13.8" hidden="false" customHeight="false" outlineLevel="0" collapsed="false">
      <c r="K53" s="0" t="n">
        <v>677476.43</v>
      </c>
      <c r="L53" s="8" t="n">
        <v>44865</v>
      </c>
    </row>
    <row r="54" customFormat="false" ht="13.8" hidden="false" customHeight="false" outlineLevel="0" collapsed="false">
      <c r="K54" s="0" t="n">
        <v>720720.94</v>
      </c>
      <c r="L54" s="8" t="n">
        <v>44895</v>
      </c>
    </row>
    <row r="55" customFormat="false" ht="13.8" hidden="false" customHeight="false" outlineLevel="0" collapsed="false">
      <c r="K55" s="0" t="n">
        <v>676935.56</v>
      </c>
      <c r="L55" s="8" t="n">
        <v>44925</v>
      </c>
    </row>
    <row r="56" customFormat="false" ht="13.8" hidden="false" customHeight="false" outlineLevel="0" collapsed="false">
      <c r="K56" s="0" t="n">
        <v>717993.82</v>
      </c>
      <c r="L56" s="8" t="n">
        <v>44957</v>
      </c>
    </row>
    <row r="57" customFormat="false" ht="13.8" hidden="false" customHeight="false" outlineLevel="0" collapsed="false">
      <c r="K57" s="0" t="n">
        <v>709761.94</v>
      </c>
      <c r="L57" s="8" t="n">
        <v>44985</v>
      </c>
    </row>
    <row r="58" customFormat="false" ht="13.8" hidden="false" customHeight="false" outlineLevel="0" collapsed="false">
      <c r="K58" s="0" t="n">
        <v>711043.05</v>
      </c>
      <c r="L58" s="8" t="n">
        <v>45016</v>
      </c>
    </row>
    <row r="59" customFormat="false" ht="13.8" hidden="false" customHeight="false" outlineLevel="0" collapsed="false">
      <c r="K59" s="0" t="n">
        <v>715008.83</v>
      </c>
      <c r="L59" s="8" t="n">
        <v>45044</v>
      </c>
    </row>
    <row r="60" customFormat="false" ht="13.8" hidden="false" customHeight="false" outlineLevel="0" collapsed="false">
      <c r="K60" s="0" t="n">
        <v>697583.02</v>
      </c>
      <c r="L60" s="8" t="n">
        <v>45077</v>
      </c>
    </row>
    <row r="61" customFormat="false" ht="13.8" hidden="false" customHeight="false" outlineLevel="0" collapsed="false">
      <c r="K61" s="0" t="n">
        <v>734810.23</v>
      </c>
      <c r="L61" s="8" t="n">
        <v>45107</v>
      </c>
    </row>
    <row r="62" customFormat="false" ht="13.8" hidden="false" customHeight="false" outlineLevel="0" collapsed="false">
      <c r="K62" s="0" t="n">
        <v>753423.45</v>
      </c>
      <c r="L62" s="8" t="n">
        <v>45138</v>
      </c>
    </row>
    <row r="63" customFormat="false" ht="13.8" hidden="false" customHeight="false" outlineLevel="0" collapsed="false">
      <c r="K63" s="0" t="n">
        <v>747323.32</v>
      </c>
      <c r="L63" s="8" t="n">
        <v>45169</v>
      </c>
    </row>
    <row r="64" customFormat="false" ht="13.8" hidden="false" customHeight="false" outlineLevel="0" collapsed="false">
      <c r="K64" s="0" t="n">
        <v>710312.63</v>
      </c>
      <c r="L64" s="8" t="n">
        <v>45198</v>
      </c>
    </row>
    <row r="65" customFormat="false" ht="13.8" hidden="false" customHeight="false" outlineLevel="0" collapsed="false">
      <c r="K65" s="0" t="n">
        <v>691314.19</v>
      </c>
      <c r="L65" s="8" t="n">
        <v>45230</v>
      </c>
    </row>
    <row r="66" customFormat="false" ht="13.8" hidden="false" customHeight="false" outlineLevel="0" collapsed="false">
      <c r="K66" s="0" t="n">
        <v>752914.39</v>
      </c>
      <c r="L66" s="8" t="n">
        <v>45260</v>
      </c>
    </row>
    <row r="67" customFormat="false" ht="13.8" hidden="false" customHeight="false" outlineLevel="0" collapsed="false">
      <c r="K67" s="0" t="n">
        <v>777933.37</v>
      </c>
      <c r="L67" s="8" t="n">
        <v>45289</v>
      </c>
    </row>
    <row r="68" customFormat="false" ht="13.8" hidden="false" customHeight="false" outlineLevel="0" collapsed="false">
      <c r="K68" s="0" t="n">
        <v>783305.09</v>
      </c>
      <c r="L68" s="8" t="n">
        <v>45322</v>
      </c>
    </row>
    <row r="69" customFormat="false" ht="13.8" hidden="false" customHeight="false" outlineLevel="0" collapsed="false">
      <c r="K69" s="0" t="n">
        <v>825836.57</v>
      </c>
      <c r="L69" s="8" t="n">
        <v>45351</v>
      </c>
    </row>
    <row r="70" customFormat="false" ht="13.8" hidden="false" customHeight="false" outlineLevel="0" collapsed="false">
      <c r="K70" s="0" t="n">
        <v>851904.69</v>
      </c>
      <c r="L70" s="8" t="n">
        <v>45379</v>
      </c>
    </row>
    <row r="71" customFormat="false" ht="14.25" hidden="false" customHeight="false" outlineLevel="0" collapsed="false">
      <c r="K71" s="0" t="s">
        <v>46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340</TotalTime>
  <Application>LibreOffice/7.4.2.3$MacOSX_X86_64 LibreOffice_project/382eef1f22670f7f4118c8c2dd222ec7ad009daf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2022-05-29T05:59:02Z</dcterms:created>
  <dc:creator>Alex</dc:creator>
  <dc:description/>
  <dc:language>en-CA</dc:language>
  <cp:lastModifiedBy/>
  <cp:lastPrinted>2023-10-04T16:37:37Z</cp:lastPrinted>
  <dcterms:modified xsi:type="dcterms:W3CDTF">2024-04-16T09:26:49Z</dcterms:modified>
  <cp:revision>8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  <property fmtid="{D5CDD505-2E9C-101B-9397-08002B2CF9AE}" pid="3" name="ComplianceAssetId">
    <vt:lpwstr/>
  </property>
  <property fmtid="{D5CDD505-2E9C-101B-9397-08002B2CF9AE}" pid="4" name="ContentTypeId">
    <vt:lpwstr>0x010100267FFD08DB52BB448DF99E934E9746A4</vt:lpwstr>
  </property>
  <property fmtid="{D5CDD505-2E9C-101B-9397-08002B2CF9AE}" pid="5" name="MediaServiceImageTags">
    <vt:lpwstr/>
  </property>
  <property fmtid="{D5CDD505-2E9C-101B-9397-08002B2CF9AE}" pid="6" name="TemplateUrl">
    <vt:lpwstr/>
  </property>
  <property fmtid="{D5CDD505-2E9C-101B-9397-08002B2CF9AE}" pid="7" name="TriggerFlowInfo">
    <vt:lpwstr/>
  </property>
  <property fmtid="{D5CDD505-2E9C-101B-9397-08002B2CF9AE}" pid="8" name="_ExtendedDescription">
    <vt:lpwstr/>
  </property>
  <property fmtid="{D5CDD505-2E9C-101B-9397-08002B2CF9AE}" pid="9" name="xd_ProgID">
    <vt:lpwstr/>
  </property>
  <property fmtid="{D5CDD505-2E9C-101B-9397-08002B2CF9AE}" pid="10" name="xd_Signature">
    <vt:bool>0</vt:bool>
  </property>
</Properties>
</file>