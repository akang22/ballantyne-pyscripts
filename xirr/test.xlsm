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lexc\Desktop\Ballantyne\Returns\ballantyne-pyscripts\xirr\"/>
    </mc:Choice>
  </mc:AlternateContent>
  <xr:revisionPtr revIDLastSave="0" documentId="13_ncr:1_{0372D438-EBC1-467A-9293-90F63AB6E537}" xr6:coauthVersionLast="47" xr6:coauthVersionMax="47" xr10:uidLastSave="{00000000-0000-0000-0000-000000000000}"/>
  <bookViews>
    <workbookView xWindow="-110" yWindow="-110" windowWidth="25180" windowHeight="16140" tabRatio="500" activeTab="5" xr2:uid="{00000000-000D-0000-FFFF-FFFF00000000}"/>
  </bookViews>
  <sheets>
    <sheet name="HUB" sheetId="1" r:id="rId1"/>
    <sheet name="Page3 Summary" sheetId="2" r:id="rId2"/>
    <sheet name="Growth" sheetId="3" r:id="rId3"/>
    <sheet name="Dividend" sheetId="4" r:id="rId4"/>
    <sheet name="Core" sheetId="5" r:id="rId5"/>
    <sheet name="Sheet6" sheetId="6" r:id="rId6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8" i="6" l="1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Q4" i="5"/>
  <c r="P4" i="5"/>
  <c r="O4" i="5"/>
  <c r="B4" i="5"/>
  <c r="Q3" i="5"/>
  <c r="P3" i="5"/>
  <c r="O3" i="5"/>
  <c r="H20" i="5" s="1"/>
  <c r="B3" i="5"/>
  <c r="A7" i="2" s="1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Q4" i="4"/>
  <c r="P4" i="4"/>
  <c r="O4" i="4"/>
  <c r="B4" i="4"/>
  <c r="Q3" i="4"/>
  <c r="H43" i="4" s="1"/>
  <c r="P3" i="4"/>
  <c r="O3" i="4"/>
  <c r="H44" i="4" s="1"/>
  <c r="B3" i="4"/>
  <c r="A6" i="2" s="1"/>
  <c r="J6" i="2" s="1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Q4" i="3"/>
  <c r="P4" i="3"/>
  <c r="O4" i="3"/>
  <c r="B4" i="3"/>
  <c r="Q3" i="3"/>
  <c r="P3" i="3"/>
  <c r="O3" i="3"/>
  <c r="H44" i="3" s="1"/>
  <c r="B3" i="3"/>
  <c r="I7" i="2"/>
  <c r="J7" i="2" s="1"/>
  <c r="H7" i="2"/>
  <c r="G7" i="2"/>
  <c r="F7" i="2"/>
  <c r="E7" i="2"/>
  <c r="D7" i="2"/>
  <c r="C7" i="2"/>
  <c r="B7" i="2"/>
  <c r="I6" i="2"/>
  <c r="H6" i="2"/>
  <c r="G6" i="2"/>
  <c r="F6" i="2"/>
  <c r="E6" i="2"/>
  <c r="D6" i="2"/>
  <c r="C6" i="2"/>
  <c r="B6" i="2"/>
  <c r="I5" i="2"/>
  <c r="J5" i="2" s="1"/>
  <c r="H5" i="2"/>
  <c r="G5" i="2"/>
  <c r="F5" i="2"/>
  <c r="E5" i="2"/>
  <c r="D5" i="2"/>
  <c r="C5" i="2"/>
  <c r="B5" i="2"/>
  <c r="A5" i="2"/>
  <c r="J44" i="4" l="1"/>
  <c r="I20" i="5"/>
  <c r="I19" i="5"/>
  <c r="I44" i="3"/>
  <c r="I43" i="3"/>
  <c r="I44" i="4"/>
  <c r="I43" i="4"/>
  <c r="H17" i="5"/>
  <c r="H16" i="5" s="1"/>
  <c r="H19" i="5"/>
  <c r="H43" i="3"/>
  <c r="H42" i="4"/>
  <c r="H18" i="5"/>
  <c r="H42" i="3"/>
  <c r="H41" i="3" s="1"/>
  <c r="J17" i="5" l="1"/>
  <c r="I15" i="5"/>
  <c r="H15" i="5"/>
  <c r="I40" i="3"/>
  <c r="J42" i="3"/>
  <c r="H40" i="3"/>
  <c r="J43" i="3"/>
  <c r="I41" i="3"/>
  <c r="J18" i="5"/>
  <c r="I16" i="5"/>
  <c r="J43" i="4"/>
  <c r="J19" i="5"/>
  <c r="I17" i="5"/>
  <c r="H41" i="4"/>
  <c r="I41" i="4" s="1"/>
  <c r="I42" i="4"/>
  <c r="I42" i="3"/>
  <c r="J44" i="3"/>
  <c r="J20" i="5"/>
  <c r="I18" i="5"/>
  <c r="J41" i="3" l="1"/>
  <c r="H39" i="3"/>
  <c r="J16" i="5"/>
  <c r="H14" i="5"/>
  <c r="J42" i="4"/>
  <c r="H40" i="4"/>
  <c r="I40" i="4" s="1"/>
  <c r="J15" i="5" l="1"/>
  <c r="H13" i="5"/>
  <c r="I14" i="5"/>
  <c r="J40" i="3"/>
  <c r="H38" i="3"/>
  <c r="I38" i="3" s="1"/>
  <c r="I39" i="3"/>
  <c r="J41" i="4"/>
  <c r="H39" i="4"/>
  <c r="J14" i="5" l="1"/>
  <c r="H12" i="5"/>
  <c r="J39" i="3"/>
  <c r="H37" i="3"/>
  <c r="J40" i="4"/>
  <c r="I38" i="4"/>
  <c r="H38" i="4"/>
  <c r="I39" i="4"/>
  <c r="I13" i="5"/>
  <c r="J38" i="3" l="1"/>
  <c r="H36" i="3"/>
  <c r="I37" i="3"/>
  <c r="J13" i="5"/>
  <c r="H11" i="5"/>
  <c r="I11" i="5" s="1"/>
  <c r="I12" i="5"/>
  <c r="J39" i="4"/>
  <c r="H37" i="4"/>
  <c r="J38" i="4" l="1"/>
  <c r="H36" i="4"/>
  <c r="J37" i="3"/>
  <c r="H35" i="3"/>
  <c r="I35" i="3" s="1"/>
  <c r="J12" i="5"/>
  <c r="H10" i="5"/>
  <c r="I10" i="5" s="1"/>
  <c r="I37" i="4"/>
  <c r="I36" i="3"/>
  <c r="I34" i="3" l="1"/>
  <c r="J36" i="3"/>
  <c r="H34" i="3"/>
  <c r="J37" i="4"/>
  <c r="H35" i="4"/>
  <c r="J11" i="5"/>
  <c r="H9" i="5"/>
  <c r="I36" i="4"/>
  <c r="J10" i="5" l="1"/>
  <c r="H8" i="5"/>
  <c r="I9" i="5"/>
  <c r="J36" i="4"/>
  <c r="H34" i="4"/>
  <c r="I35" i="4"/>
  <c r="J35" i="3"/>
  <c r="H33" i="3"/>
  <c r="J34" i="3" l="1"/>
  <c r="H32" i="3"/>
  <c r="J35" i="4"/>
  <c r="H33" i="4"/>
  <c r="I34" i="4"/>
  <c r="J9" i="5"/>
  <c r="H7" i="5"/>
  <c r="I33" i="3"/>
  <c r="I8" i="5"/>
  <c r="J34" i="4" l="1"/>
  <c r="H32" i="4"/>
  <c r="I33" i="4"/>
  <c r="J8" i="5"/>
  <c r="H6" i="5"/>
  <c r="J33" i="3"/>
  <c r="I31" i="3"/>
  <c r="H31" i="3"/>
  <c r="I7" i="5"/>
  <c r="I32" i="3"/>
  <c r="J7" i="5" l="1"/>
  <c r="H5" i="5"/>
  <c r="I5" i="5" s="1"/>
  <c r="I6" i="5"/>
  <c r="J33" i="4"/>
  <c r="H31" i="4"/>
  <c r="J32" i="3"/>
  <c r="H30" i="3"/>
  <c r="I30" i="3" s="1"/>
  <c r="I32" i="4"/>
  <c r="J32" i="4" l="1"/>
  <c r="I30" i="4"/>
  <c r="H30" i="4"/>
  <c r="I31" i="4"/>
  <c r="J6" i="5"/>
  <c r="H4" i="5"/>
  <c r="J31" i="3"/>
  <c r="H29" i="3"/>
  <c r="J30" i="3" l="1"/>
  <c r="H28" i="3"/>
  <c r="I29" i="3"/>
  <c r="J5" i="5"/>
  <c r="H3" i="5"/>
  <c r="I4" i="5"/>
  <c r="J31" i="4"/>
  <c r="H29" i="4"/>
  <c r="J30" i="4" l="1"/>
  <c r="H28" i="4"/>
  <c r="J3" i="5"/>
  <c r="J4" i="5"/>
  <c r="I3" i="5"/>
  <c r="J29" i="3"/>
  <c r="I27" i="3"/>
  <c r="H27" i="3"/>
  <c r="I29" i="4"/>
  <c r="I28" i="3"/>
  <c r="O5" i="5" l="1"/>
  <c r="J29" i="4"/>
  <c r="I27" i="4"/>
  <c r="H27" i="4"/>
  <c r="I28" i="4"/>
  <c r="J28" i="3"/>
  <c r="H26" i="3"/>
  <c r="J27" i="3" l="1"/>
  <c r="H25" i="3"/>
  <c r="I26" i="3"/>
  <c r="J28" i="4"/>
  <c r="H26" i="4"/>
  <c r="I26" i="4" s="1"/>
  <c r="J27" i="4" l="1"/>
  <c r="I25" i="4"/>
  <c r="H25" i="4"/>
  <c r="J26" i="3"/>
  <c r="H24" i="3"/>
  <c r="I25" i="3"/>
  <c r="J25" i="3" l="1"/>
  <c r="I23" i="3"/>
  <c r="H23" i="3"/>
  <c r="I24" i="3"/>
  <c r="J26" i="4"/>
  <c r="H24" i="4"/>
  <c r="J25" i="4" l="1"/>
  <c r="H23" i="4"/>
  <c r="I24" i="4"/>
  <c r="J24" i="3"/>
  <c r="H22" i="3"/>
  <c r="J23" i="3" l="1"/>
  <c r="H21" i="3"/>
  <c r="I22" i="3"/>
  <c r="J24" i="4"/>
  <c r="H22" i="4"/>
  <c r="I23" i="4"/>
  <c r="J22" i="3" l="1"/>
  <c r="H20" i="3"/>
  <c r="J23" i="4"/>
  <c r="H21" i="4"/>
  <c r="I22" i="4"/>
  <c r="I21" i="3"/>
  <c r="J21" i="3" l="1"/>
  <c r="H19" i="3"/>
  <c r="J22" i="4"/>
  <c r="H20" i="4"/>
  <c r="I21" i="4"/>
  <c r="I20" i="3"/>
  <c r="J20" i="3" l="1"/>
  <c r="H18" i="3"/>
  <c r="J21" i="4"/>
  <c r="H19" i="4"/>
  <c r="I19" i="4" s="1"/>
  <c r="I20" i="4"/>
  <c r="I19" i="3"/>
  <c r="J19" i="3" l="1"/>
  <c r="H17" i="3"/>
  <c r="J20" i="4"/>
  <c r="H18" i="4"/>
  <c r="I18" i="3"/>
  <c r="J19" i="4" l="1"/>
  <c r="H17" i="4"/>
  <c r="I18" i="4"/>
  <c r="J18" i="3"/>
  <c r="H16" i="3"/>
  <c r="I16" i="3" s="1"/>
  <c r="I17" i="3"/>
  <c r="J17" i="3" l="1"/>
  <c r="H15" i="3"/>
  <c r="J18" i="4"/>
  <c r="H16" i="4"/>
  <c r="I16" i="4" s="1"/>
  <c r="I17" i="4"/>
  <c r="J16" i="3" l="1"/>
  <c r="H14" i="3"/>
  <c r="I15" i="3"/>
  <c r="J17" i="4"/>
  <c r="H15" i="4"/>
  <c r="J16" i="4" l="1"/>
  <c r="H14" i="4"/>
  <c r="I15" i="4"/>
  <c r="J15" i="3"/>
  <c r="H13" i="3"/>
  <c r="I14" i="3"/>
  <c r="I12" i="3" l="1"/>
  <c r="J14" i="3"/>
  <c r="H12" i="3"/>
  <c r="I13" i="3"/>
  <c r="J15" i="4"/>
  <c r="H13" i="4"/>
  <c r="I14" i="4"/>
  <c r="J14" i="4" l="1"/>
  <c r="H12" i="4"/>
  <c r="I13" i="4"/>
  <c r="J13" i="3"/>
  <c r="H11" i="3"/>
  <c r="I10" i="3" l="1"/>
  <c r="J12" i="3"/>
  <c r="H10" i="3"/>
  <c r="J13" i="4"/>
  <c r="H11" i="4"/>
  <c r="I12" i="4"/>
  <c r="I11" i="3"/>
  <c r="J12" i="4" l="1"/>
  <c r="H10" i="4"/>
  <c r="I11" i="4"/>
  <c r="J11" i="3"/>
  <c r="H9" i="3"/>
  <c r="I8" i="3" l="1"/>
  <c r="J10" i="3"/>
  <c r="H8" i="3"/>
  <c r="I9" i="3"/>
  <c r="J11" i="4"/>
  <c r="H9" i="4"/>
  <c r="I9" i="4" s="1"/>
  <c r="I10" i="4"/>
  <c r="J9" i="3" l="1"/>
  <c r="H7" i="3"/>
  <c r="J10" i="4"/>
  <c r="H8" i="4"/>
  <c r="J9" i="4" l="1"/>
  <c r="H7" i="4"/>
  <c r="I8" i="4"/>
  <c r="J8" i="3"/>
  <c r="H6" i="3"/>
  <c r="I7" i="3"/>
  <c r="J7" i="3" l="1"/>
  <c r="H5" i="3"/>
  <c r="I6" i="3"/>
  <c r="J8" i="4"/>
  <c r="H6" i="4"/>
  <c r="I7" i="4"/>
  <c r="J7" i="4" l="1"/>
  <c r="H5" i="4"/>
  <c r="I6" i="4"/>
  <c r="J6" i="3"/>
  <c r="H4" i="3"/>
  <c r="I5" i="3"/>
  <c r="J6" i="4" l="1"/>
  <c r="H4" i="4"/>
  <c r="J5" i="3"/>
  <c r="H3" i="3"/>
  <c r="I4" i="3"/>
  <c r="I5" i="4"/>
  <c r="J3" i="3" l="1"/>
  <c r="J4" i="3"/>
  <c r="I3" i="3"/>
  <c r="J5" i="4"/>
  <c r="H3" i="4"/>
  <c r="I4" i="4"/>
  <c r="O5" i="3" l="1"/>
  <c r="J3" i="4"/>
  <c r="J4" i="4"/>
  <c r="I3" i="4"/>
  <c r="O5" i="4" l="1"/>
</calcChain>
</file>

<file path=xl/sharedStrings.xml><?xml version="1.0" encoding="utf-8"?>
<sst xmlns="http://schemas.openxmlformats.org/spreadsheetml/2006/main" count="96" uniqueCount="43">
  <si>
    <t>STANDARD</t>
  </si>
  <si>
    <t>Y</t>
  </si>
  <si>
    <t>M</t>
  </si>
  <si>
    <t>D</t>
  </si>
  <si>
    <t>ANNUAL</t>
  </si>
  <si>
    <t>Q-D</t>
  </si>
  <si>
    <t>Y-D</t>
  </si>
  <si>
    <t>XIRR-1</t>
  </si>
  <si>
    <t>XIRR-3</t>
  </si>
  <si>
    <t>XIRR-5</t>
  </si>
  <si>
    <t>XIRR-10</t>
  </si>
  <si>
    <t>XIRR-INC</t>
  </si>
  <si>
    <t>CTL Shift V</t>
  </si>
  <si>
    <t>Run Macro2</t>
  </si>
  <si>
    <t>Period</t>
  </si>
  <si>
    <t>PortCode</t>
  </si>
  <si>
    <t>3Months</t>
  </si>
  <si>
    <t>YTD</t>
  </si>
  <si>
    <t>1Year</t>
  </si>
  <si>
    <t>3Year</t>
  </si>
  <si>
    <t>5Year</t>
  </si>
  <si>
    <t>INCEPT</t>
  </si>
  <si>
    <t>PeriodEndDate</t>
  </si>
  <si>
    <t>YRS</t>
  </si>
  <si>
    <t>Growth Model</t>
  </si>
  <si>
    <t>Growth</t>
  </si>
  <si>
    <t>CURR</t>
  </si>
  <si>
    <t>Type in =DATE(2019,1,01)</t>
  </si>
  <si>
    <t>Start</t>
  </si>
  <si>
    <t>End</t>
  </si>
  <si>
    <t>RETURNS</t>
  </si>
  <si>
    <t>Result</t>
  </si>
  <si>
    <t>Dividend Model</t>
  </si>
  <si>
    <t>Dividend</t>
  </si>
  <si>
    <t>Core Plus Model</t>
  </si>
  <si>
    <t>Core Plus</t>
  </si>
  <si>
    <t>test_token</t>
  </si>
  <si>
    <t>name:</t>
  </si>
  <si>
    <t>amounts:</t>
  </si>
  <si>
    <t>end</t>
  </si>
  <si>
    <t>CORE</t>
  </si>
  <si>
    <t>DIVIDEND</t>
  </si>
  <si>
    <t>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</si>
</sst>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"/>
    <numFmt numFmtId="165" formatCode="\$#,##0.00"/>
  </numFmts>
  <fonts count="8" x14ac:knownFonts="1">
    <font>
      <sz val="11"/>
      <color rgb="FF000000"/>
      <name val="Calibri"/>
      <family val="2"/>
      <charset val="1"/>
    </font>
    <font>
      <sz val="11"/>
      <color rgb="FF000000"/>
      <name val="Open Sans Light"/>
      <family val="2"/>
      <charset val="1"/>
    </font>
    <font>
      <b/>
      <sz val="11"/>
      <color rgb="FF000000"/>
      <name val="Open Sans Light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Open Sans Light"/>
      <family val="2"/>
      <charset val="1"/>
    </font>
    <font>
      <sz val="11"/>
      <color rgb="FF000000"/>
      <name val="Inconsolata"/>
      <charset val="1"/>
    </font>
    <font>
      <b/>
      <sz val="10"/>
      <color rgb="FF000000"/>
      <name val="Open Sans Light"/>
      <family val="2"/>
      <charset val="1"/>
    </font>
    <font>
      <b/>
      <sz val="11"/>
      <color rgb="FF000000"/>
      <name val="Open Sans Light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AE3F3"/>
        <bgColor rgb="FFCCFFFF"/>
      </patternFill>
    </fill>
    <fill>
      <patternFill patternType="solid">
        <fgColor rgb="FFFFF2CC"/>
        <bgColor rgb="FFFFFFFF"/>
      </patternFill>
    </fill>
  </fills>
  <borders count="3">
    <border>
      <left/>
      <right/>
      <top/>
      <bottom/>
      <diagonal/>
    </border>
    <border>
      <left/>
      <right/>
      <top style="thin">
        <color rgb="FF8FAADC"/>
      </top>
      <bottom style="thin">
        <color rgb="FF8FAADC"/>
      </bottom>
      <diagonal/>
    </border>
    <border>
      <left style="thin">
        <color rgb="FF8FAADC"/>
      </left>
      <right/>
      <top style="thin">
        <color rgb="FF8FAADC"/>
      </top>
      <bottom style="thin">
        <color rgb="FF8FAADC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/>
    <xf numFmtId="0" fontId="0" fillId="2" borderId="0" xfId="0" applyFill="1"/>
    <xf numFmtId="164" fontId="0" fillId="3" borderId="0" xfId="0" applyNumberFormat="1" applyFill="1"/>
    <xf numFmtId="0" fontId="0" fillId="4" borderId="0" xfId="0" applyFill="1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/>
    <xf numFmtId="2" fontId="0" fillId="0" borderId="0" xfId="0" applyNumberFormat="1"/>
    <xf numFmtId="10" fontId="1" fillId="0" borderId="0" xfId="0" applyNumberFormat="1" applyFont="1"/>
    <xf numFmtId="0" fontId="1" fillId="3" borderId="1" xfId="0" applyFont="1" applyFill="1" applyBorder="1"/>
    <xf numFmtId="0" fontId="1" fillId="3" borderId="2" xfId="0" applyFont="1" applyFill="1" applyBorder="1"/>
    <xf numFmtId="0" fontId="4" fillId="0" borderId="0" xfId="0" applyFont="1"/>
    <xf numFmtId="165" fontId="1" fillId="0" borderId="0" xfId="0" applyNumberFormat="1" applyFont="1"/>
    <xf numFmtId="164" fontId="1" fillId="0" borderId="0" xfId="0" applyNumberFormat="1" applyFont="1"/>
    <xf numFmtId="0" fontId="5" fillId="0" borderId="0" xfId="0" applyFont="1"/>
    <xf numFmtId="10" fontId="2" fillId="0" borderId="0" xfId="0" applyNumberFormat="1" applyFont="1"/>
    <xf numFmtId="10" fontId="6" fillId="0" borderId="0" xfId="0" applyNumberFormat="1" applyFont="1"/>
    <xf numFmtId="0" fontId="2" fillId="0" borderId="0" xfId="0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vertical="center"/>
    </xf>
    <xf numFmtId="10" fontId="5" fillId="0" borderId="0" xfId="0" applyNumberFormat="1" applyFont="1"/>
    <xf numFmtId="0" fontId="1" fillId="0" borderId="0" xfId="0" applyFont="1" applyAlignment="1">
      <alignment vertical="top"/>
    </xf>
    <xf numFmtId="165" fontId="1" fillId="0" borderId="0" xfId="0" applyNumberFormat="1" applyFont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2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I41"/>
  <sheetViews>
    <sheetView zoomScale="110" zoomScaleNormal="140" workbookViewId="0">
      <selection activeCell="F21" sqref="F21"/>
    </sheetView>
  </sheetViews>
  <sheetFormatPr defaultColWidth="9.1796875" defaultRowHeight="14.5" x14ac:dyDescent="0.35"/>
  <cols>
    <col min="1" max="1" width="28" customWidth="1"/>
    <col min="2" max="2" width="16.7265625" customWidth="1"/>
    <col min="3" max="3" width="18.7265625" customWidth="1"/>
    <col min="5" max="5" width="14.7265625" customWidth="1"/>
    <col min="6" max="6" width="23.54296875" customWidth="1"/>
    <col min="8" max="8" width="16.54296875" customWidth="1"/>
    <col min="9" max="9" width="14.7265625" customWidth="1"/>
  </cols>
  <sheetData>
    <row r="3" spans="1:9" ht="16.5" x14ac:dyDescent="0.45">
      <c r="A3" s="1" t="s">
        <v>0</v>
      </c>
      <c r="B3" s="2" t="s">
        <v>1</v>
      </c>
      <c r="C3" s="2" t="s">
        <v>2</v>
      </c>
      <c r="D3" s="2" t="s">
        <v>3</v>
      </c>
      <c r="F3" s="1" t="s">
        <v>4</v>
      </c>
      <c r="G3" s="2" t="s">
        <v>1</v>
      </c>
      <c r="H3" s="2" t="s">
        <v>2</v>
      </c>
      <c r="I3" s="2" t="s">
        <v>3</v>
      </c>
    </row>
    <row r="4" spans="1:9" ht="16.5" x14ac:dyDescent="0.45">
      <c r="A4" s="2" t="s">
        <v>5</v>
      </c>
      <c r="B4" s="1">
        <v>2024</v>
      </c>
      <c r="C4" s="1">
        <v>1</v>
      </c>
      <c r="D4" s="1">
        <v>1</v>
      </c>
      <c r="F4" s="2"/>
      <c r="G4" s="1">
        <v>2019</v>
      </c>
      <c r="H4" s="1">
        <v>1</v>
      </c>
      <c r="I4" s="1">
        <v>1</v>
      </c>
    </row>
    <row r="5" spans="1:9" ht="16.5" x14ac:dyDescent="0.45">
      <c r="A5" s="2"/>
      <c r="B5" s="1">
        <v>2024</v>
      </c>
      <c r="C5" s="1">
        <v>3</v>
      </c>
      <c r="D5" s="1">
        <v>31</v>
      </c>
      <c r="F5" s="2"/>
      <c r="G5" s="1">
        <v>2019</v>
      </c>
      <c r="H5" s="1">
        <v>12</v>
      </c>
      <c r="I5" s="1">
        <v>31</v>
      </c>
    </row>
    <row r="6" spans="1:9" ht="16.5" x14ac:dyDescent="0.45">
      <c r="A6" s="2"/>
      <c r="B6" s="1"/>
      <c r="C6" s="1"/>
      <c r="D6" s="1"/>
      <c r="F6" s="2"/>
      <c r="G6" s="1"/>
      <c r="H6" s="1"/>
    </row>
    <row r="7" spans="1:9" ht="16.5" x14ac:dyDescent="0.45">
      <c r="A7" s="2" t="s">
        <v>6</v>
      </c>
      <c r="B7" s="1">
        <v>2024</v>
      </c>
      <c r="C7" s="1">
        <v>1</v>
      </c>
      <c r="D7" s="1">
        <v>1</v>
      </c>
      <c r="F7" s="2"/>
      <c r="G7" s="1">
        <v>2020</v>
      </c>
      <c r="H7" s="1">
        <v>1</v>
      </c>
      <c r="I7" s="1">
        <v>1</v>
      </c>
    </row>
    <row r="8" spans="1:9" ht="16.5" x14ac:dyDescent="0.45">
      <c r="A8" s="2"/>
      <c r="B8" s="1">
        <v>2024</v>
      </c>
      <c r="C8" s="1">
        <v>3</v>
      </c>
      <c r="D8" s="1">
        <v>31</v>
      </c>
      <c r="F8" s="2"/>
      <c r="G8" s="1">
        <v>2020</v>
      </c>
      <c r="H8" s="1">
        <v>12</v>
      </c>
      <c r="I8" s="1">
        <v>31</v>
      </c>
    </row>
    <row r="9" spans="1:9" ht="16.5" x14ac:dyDescent="0.45">
      <c r="A9" s="2"/>
      <c r="B9" s="1"/>
      <c r="C9" s="1"/>
      <c r="D9" s="1"/>
      <c r="F9" s="2"/>
      <c r="G9" s="1"/>
      <c r="H9" s="1"/>
    </row>
    <row r="10" spans="1:9" ht="16.5" x14ac:dyDescent="0.45">
      <c r="A10" s="2" t="s">
        <v>7</v>
      </c>
      <c r="B10" s="1">
        <v>2023</v>
      </c>
      <c r="C10" s="1">
        <v>4</v>
      </c>
      <c r="D10" s="1">
        <v>1</v>
      </c>
      <c r="F10" s="2"/>
      <c r="G10" s="1">
        <v>2021</v>
      </c>
      <c r="H10" s="1">
        <v>1</v>
      </c>
      <c r="I10" s="1">
        <v>1</v>
      </c>
    </row>
    <row r="11" spans="1:9" ht="16.5" x14ac:dyDescent="0.45">
      <c r="A11" s="2"/>
      <c r="B11" s="1">
        <v>2024</v>
      </c>
      <c r="C11" s="1">
        <v>3</v>
      </c>
      <c r="D11" s="1">
        <v>31</v>
      </c>
      <c r="F11" s="2"/>
      <c r="G11" s="1">
        <v>2021</v>
      </c>
      <c r="H11" s="1">
        <v>12</v>
      </c>
      <c r="I11" s="1">
        <v>31</v>
      </c>
    </row>
    <row r="12" spans="1:9" ht="16.5" x14ac:dyDescent="0.45">
      <c r="A12" s="2"/>
      <c r="B12" s="1"/>
      <c r="C12" s="1"/>
      <c r="D12" s="1"/>
      <c r="F12" s="2"/>
      <c r="G12" s="1"/>
      <c r="H12" s="1"/>
    </row>
    <row r="13" spans="1:9" ht="16.5" x14ac:dyDescent="0.45">
      <c r="A13" s="2" t="s">
        <v>8</v>
      </c>
      <c r="B13" s="1">
        <v>2021</v>
      </c>
      <c r="C13" s="1">
        <v>4</v>
      </c>
      <c r="D13" s="1">
        <v>1</v>
      </c>
      <c r="F13" s="2"/>
      <c r="G13" s="1">
        <v>2022</v>
      </c>
      <c r="H13" s="1">
        <v>1</v>
      </c>
      <c r="I13" s="1">
        <v>1</v>
      </c>
    </row>
    <row r="14" spans="1:9" ht="16.5" x14ac:dyDescent="0.45">
      <c r="A14" s="2"/>
      <c r="B14" s="1">
        <v>2024</v>
      </c>
      <c r="C14" s="1">
        <v>3</v>
      </c>
      <c r="D14" s="1">
        <v>31</v>
      </c>
      <c r="F14" s="2"/>
      <c r="G14" s="1">
        <v>2022</v>
      </c>
      <c r="H14" s="1">
        <v>12</v>
      </c>
      <c r="I14" s="1">
        <v>31</v>
      </c>
    </row>
    <row r="15" spans="1:9" ht="16.5" x14ac:dyDescent="0.45">
      <c r="A15" s="2"/>
      <c r="B15" s="1"/>
      <c r="C15" s="1"/>
      <c r="D15" s="1"/>
      <c r="F15" s="2"/>
      <c r="G15" s="1"/>
      <c r="H15" s="1"/>
    </row>
    <row r="16" spans="1:9" ht="16.5" x14ac:dyDescent="0.45">
      <c r="A16" s="2" t="s">
        <v>9</v>
      </c>
      <c r="B16" s="1">
        <v>2019</v>
      </c>
      <c r="C16" s="1">
        <v>4</v>
      </c>
      <c r="D16" s="1">
        <v>1</v>
      </c>
      <c r="F16" s="2"/>
      <c r="G16" s="1">
        <v>2023</v>
      </c>
      <c r="H16" s="1">
        <v>1</v>
      </c>
      <c r="I16" s="1">
        <v>1</v>
      </c>
    </row>
    <row r="17" spans="1:9" ht="16.5" x14ac:dyDescent="0.45">
      <c r="A17" s="2"/>
      <c r="B17" s="1">
        <v>2024</v>
      </c>
      <c r="C17" s="1">
        <v>3</v>
      </c>
      <c r="D17" s="1">
        <v>31</v>
      </c>
      <c r="F17" s="2"/>
      <c r="G17" s="1">
        <v>2023</v>
      </c>
      <c r="H17" s="1">
        <v>12</v>
      </c>
      <c r="I17" s="1">
        <v>31</v>
      </c>
    </row>
    <row r="18" spans="1:9" ht="16.5" x14ac:dyDescent="0.45">
      <c r="A18" s="2"/>
      <c r="B18" s="1"/>
      <c r="C18" s="1"/>
      <c r="D18" s="1"/>
      <c r="F18" s="2"/>
      <c r="G18" s="1"/>
      <c r="H18" s="1"/>
    </row>
    <row r="19" spans="1:9" ht="16.5" x14ac:dyDescent="0.45">
      <c r="A19" s="2" t="s">
        <v>10</v>
      </c>
      <c r="B19" s="1">
        <v>2018</v>
      </c>
      <c r="C19" s="1">
        <v>10</v>
      </c>
      <c r="D19" s="1">
        <v>1</v>
      </c>
      <c r="F19" s="2"/>
      <c r="G19" s="1">
        <v>2024</v>
      </c>
      <c r="H19" s="1">
        <v>1</v>
      </c>
      <c r="I19" s="1">
        <v>1</v>
      </c>
    </row>
    <row r="20" spans="1:9" ht="16.5" x14ac:dyDescent="0.45">
      <c r="A20" s="1"/>
      <c r="B20" s="1">
        <v>2024</v>
      </c>
      <c r="C20" s="1">
        <v>3</v>
      </c>
      <c r="D20" s="1">
        <v>31</v>
      </c>
      <c r="F20" s="1"/>
      <c r="G20" s="1">
        <v>2024</v>
      </c>
      <c r="H20" s="1">
        <v>12</v>
      </c>
      <c r="I20" s="1">
        <v>31</v>
      </c>
    </row>
    <row r="22" spans="1:9" ht="16.5" x14ac:dyDescent="0.45">
      <c r="A22" s="2" t="s">
        <v>11</v>
      </c>
      <c r="B22" s="1">
        <v>2018</v>
      </c>
      <c r="C22" s="1">
        <v>10</v>
      </c>
      <c r="D22" s="1">
        <v>1</v>
      </c>
      <c r="F22" s="2"/>
      <c r="G22" s="1">
        <v>2025</v>
      </c>
      <c r="H22" s="1">
        <v>1</v>
      </c>
      <c r="I22" s="1">
        <v>1</v>
      </c>
    </row>
    <row r="23" spans="1:9" ht="16.5" x14ac:dyDescent="0.45">
      <c r="B23" s="1">
        <v>2024</v>
      </c>
      <c r="C23" s="1">
        <v>3</v>
      </c>
      <c r="D23" s="1">
        <v>31</v>
      </c>
      <c r="F23" s="1"/>
      <c r="G23" s="1">
        <v>2025</v>
      </c>
      <c r="H23" s="1">
        <v>12</v>
      </c>
      <c r="I23" s="1">
        <v>31</v>
      </c>
    </row>
    <row r="25" spans="1:9" ht="16.5" x14ac:dyDescent="0.45">
      <c r="F25" s="2"/>
      <c r="G25" s="1">
        <v>2026</v>
      </c>
      <c r="H25" s="1">
        <v>1</v>
      </c>
      <c r="I25" s="1">
        <v>1</v>
      </c>
    </row>
    <row r="26" spans="1:9" ht="16.5" x14ac:dyDescent="0.45">
      <c r="G26" s="1">
        <v>2026</v>
      </c>
      <c r="H26" s="1">
        <v>12</v>
      </c>
      <c r="I26" s="1">
        <v>31</v>
      </c>
    </row>
    <row r="28" spans="1:9" ht="16.5" x14ac:dyDescent="0.45">
      <c r="F28" s="2"/>
      <c r="G28" s="1">
        <v>2027</v>
      </c>
      <c r="H28" s="1">
        <v>1</v>
      </c>
      <c r="I28" s="1">
        <v>1</v>
      </c>
    </row>
    <row r="29" spans="1:9" ht="16.5" x14ac:dyDescent="0.45">
      <c r="G29" s="1">
        <v>2027</v>
      </c>
      <c r="H29" s="1">
        <v>12</v>
      </c>
      <c r="I29" s="1">
        <v>31</v>
      </c>
    </row>
    <row r="30" spans="1:9" x14ac:dyDescent="0.35">
      <c r="A30" s="3" t="s">
        <v>12</v>
      </c>
    </row>
    <row r="31" spans="1:9" ht="16.5" x14ac:dyDescent="0.45">
      <c r="A31" s="4" t="s">
        <v>13</v>
      </c>
      <c r="F31" s="2"/>
      <c r="G31" s="1">
        <v>2028</v>
      </c>
      <c r="H31" s="1">
        <v>1</v>
      </c>
      <c r="I31" s="1">
        <v>1</v>
      </c>
    </row>
    <row r="32" spans="1:9" ht="16.5" x14ac:dyDescent="0.45">
      <c r="G32" s="1">
        <v>2028</v>
      </c>
      <c r="H32" s="1">
        <v>12</v>
      </c>
      <c r="I32" s="1">
        <v>31</v>
      </c>
    </row>
    <row r="34" spans="6:9" ht="16.5" x14ac:dyDescent="0.45">
      <c r="F34" s="2"/>
      <c r="G34" s="1">
        <v>2029</v>
      </c>
      <c r="H34" s="1">
        <v>1</v>
      </c>
      <c r="I34" s="1">
        <v>1</v>
      </c>
    </row>
    <row r="35" spans="6:9" ht="16.5" x14ac:dyDescent="0.45">
      <c r="G35" s="1">
        <v>2029</v>
      </c>
      <c r="H35" s="1">
        <v>12</v>
      </c>
      <c r="I35" s="1">
        <v>31</v>
      </c>
    </row>
    <row r="37" spans="6:9" ht="16.5" x14ac:dyDescent="0.45">
      <c r="F37" s="2"/>
      <c r="G37" s="1">
        <v>2030</v>
      </c>
      <c r="H37" s="1">
        <v>1</v>
      </c>
      <c r="I37" s="1">
        <v>1</v>
      </c>
    </row>
    <row r="38" spans="6:9" ht="16.5" x14ac:dyDescent="0.45">
      <c r="G38" s="1">
        <v>2030</v>
      </c>
      <c r="H38" s="1">
        <v>12</v>
      </c>
      <c r="I38" s="1">
        <v>31</v>
      </c>
    </row>
    <row r="40" spans="6:9" ht="16.5" x14ac:dyDescent="0.45">
      <c r="G40" s="1">
        <v>2031</v>
      </c>
      <c r="H40" s="1">
        <v>1</v>
      </c>
      <c r="I40" s="1">
        <v>1</v>
      </c>
    </row>
    <row r="41" spans="6:9" ht="16.5" x14ac:dyDescent="0.45">
      <c r="G41" s="1">
        <v>2031</v>
      </c>
      <c r="H41" s="1">
        <v>12</v>
      </c>
      <c r="I41" s="1">
        <v>31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7"/>
  <sheetViews>
    <sheetView zoomScale="140" zoomScaleNormal="140" workbookViewId="0">
      <selection activeCell="I21" sqref="I21"/>
    </sheetView>
  </sheetViews>
  <sheetFormatPr defaultColWidth="8.7265625" defaultRowHeight="14.5" x14ac:dyDescent="0.35"/>
  <cols>
    <col min="1" max="1" width="10.453125" customWidth="1"/>
    <col min="2" max="2" width="12.81640625" customWidth="1"/>
    <col min="3" max="3" width="8.26953125" customWidth="1"/>
    <col min="4" max="7" width="6.81640625" customWidth="1"/>
    <col min="8" max="8" width="7.26953125" customWidth="1"/>
    <col min="9" max="9" width="13.453125" customWidth="1"/>
    <col min="10" max="10" width="10.1796875" customWidth="1"/>
  </cols>
  <sheetData>
    <row r="1" spans="1:10" x14ac:dyDescent="0.35">
      <c r="A1" t="s">
        <v>14</v>
      </c>
    </row>
    <row r="2" spans="1:10" x14ac:dyDescent="0.35">
      <c r="A2" s="5">
        <v>45291</v>
      </c>
    </row>
    <row r="4" spans="1:10" x14ac:dyDescent="0.35"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21</v>
      </c>
      <c r="I4" s="6" t="s">
        <v>22</v>
      </c>
      <c r="J4" s="7" t="s">
        <v>23</v>
      </c>
    </row>
    <row r="5" spans="1:10" x14ac:dyDescent="0.35">
      <c r="A5" s="8">
        <f>Growth!B3</f>
        <v>43465</v>
      </c>
      <c r="B5" t="str">
        <f>Growth!B1</f>
        <v>Growth</v>
      </c>
      <c r="C5" s="9">
        <f>Growth!F6</f>
        <v>3.9673375633003903E-2</v>
      </c>
      <c r="D5" s="9">
        <f>Growth!F7</f>
        <v>3.9673375633003903E-2</v>
      </c>
      <c r="E5" s="9">
        <f>Growth!F8</f>
        <v>0.15699015259742699</v>
      </c>
      <c r="F5" s="9">
        <f>Growth!F9</f>
        <v>9.5579192042350797E-2</v>
      </c>
      <c r="G5" s="9">
        <f>Growth!F10</f>
        <v>0.13323540091514599</v>
      </c>
      <c r="H5" s="9">
        <f>Growth!F11</f>
        <v>0.15173109173774699</v>
      </c>
      <c r="I5" s="8">
        <f>$A$2</f>
        <v>45291</v>
      </c>
      <c r="J5" s="10">
        <f>_xlfn.DAYS(I5,A5)/365</f>
        <v>5.0027397260273974</v>
      </c>
    </row>
    <row r="6" spans="1:10" x14ac:dyDescent="0.35">
      <c r="A6" s="8">
        <f>Dividend!B3</f>
        <v>43465</v>
      </c>
      <c r="B6" t="str">
        <f>Dividend!B1</f>
        <v>Dividend</v>
      </c>
      <c r="C6" s="9">
        <f>Dividend!F6</f>
        <v>0.119200899214503</v>
      </c>
      <c r="D6" s="9">
        <f>Dividend!F7</f>
        <v>0.119200899214503</v>
      </c>
      <c r="E6" s="9">
        <f>Dividend!F8</f>
        <v>0.216127878427506</v>
      </c>
      <c r="F6" s="9">
        <f>Dividend!F9</f>
        <v>0.108026546239853</v>
      </c>
      <c r="G6" s="9">
        <f>Dividend!F10</f>
        <v>0.121195155382156</v>
      </c>
      <c r="H6" s="9">
        <f>Dividend!F11</f>
        <v>0.141081362962723</v>
      </c>
      <c r="I6" s="8">
        <f>$A$2</f>
        <v>45291</v>
      </c>
      <c r="J6" s="10">
        <f>_xlfn.DAYS(I6,A6)/365</f>
        <v>5.0027397260273974</v>
      </c>
    </row>
    <row r="7" spans="1:10" x14ac:dyDescent="0.35">
      <c r="A7" s="8">
        <f>Core!B3</f>
        <v>44561</v>
      </c>
      <c r="B7" t="str">
        <f>Core!B1</f>
        <v>Core Plus</v>
      </c>
      <c r="C7" s="9">
        <f>Core!F6</f>
        <v>3.3585965608621302E-2</v>
      </c>
      <c r="D7" s="9">
        <f>Core!F7</f>
        <v>3.3585965608621302E-2</v>
      </c>
      <c r="E7" s="9">
        <f>Core!F8</f>
        <v>0.15178921818733199</v>
      </c>
      <c r="F7" s="9">
        <f>Core!F9</f>
        <v>4.3283531069755597E-2</v>
      </c>
      <c r="G7" s="9">
        <f>Core!F10</f>
        <v>4.3283531069755597E-2</v>
      </c>
      <c r="H7" s="9">
        <f>Core!F11</f>
        <v>4.3283531069755597E-2</v>
      </c>
      <c r="I7" s="8">
        <f>$A$2</f>
        <v>45291</v>
      </c>
      <c r="J7" s="10">
        <f>_xlfn.DAYS(I7,A7)/365</f>
        <v>2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50"/>
  <sheetViews>
    <sheetView topLeftCell="A33" zoomScale="140" zoomScaleNormal="140" workbookViewId="0">
      <selection activeCell="A44" sqref="A44:B44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3" width="9.1796875" style="1"/>
    <col min="14" max="14" width="13" style="1" customWidth="1"/>
    <col min="15" max="16384" width="9.1796875" style="1"/>
  </cols>
  <sheetData>
    <row r="1" spans="1:17" x14ac:dyDescent="0.45">
      <c r="A1" s="12" t="s">
        <v>24</v>
      </c>
      <c r="B1" s="13" t="s">
        <v>25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DATE(2018,12,31)</f>
        <v>43465</v>
      </c>
      <c r="C3" s="1" t="s">
        <v>27</v>
      </c>
      <c r="G3" s="17"/>
      <c r="H3" s="17">
        <f t="shared" ref="H3:H44" si="0">IF(AND(DATE($O$3,$P$3,$Q$3)&lt;=$B3, $B3&lt;=DATE($O$4,$P$4,$Q$4)), IF(AND(H4=0, $A3 &gt; 0), 0, 1), IF(AND(H4&lt;&gt;0, $A3 &gt; 0), 1, 0))</f>
        <v>0</v>
      </c>
      <c r="I3" s="17">
        <f t="shared" ref="I3:I44" si="1">IF(OR($H4&lt;&gt;0,$H3=0), 0, 1)</f>
        <v>0</v>
      </c>
      <c r="J3" s="17">
        <f t="shared" ref="J3:J44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-1122848.04</v>
      </c>
      <c r="B4" s="16">
        <f>DATE(2019,3,31)</f>
        <v>43555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1122848.04</v>
      </c>
      <c r="B5" s="16">
        <f>DATE(2019,3,31)</f>
        <v>43555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-1151971.83</v>
      </c>
      <c r="B6" s="16">
        <f>DATE(2019,6,30)</f>
        <v>43646</v>
      </c>
      <c r="E6" s="20" t="s">
        <v>5</v>
      </c>
      <c r="F6" s="21">
        <v>3.9673375633003903E-2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  <c r="N6" s="16"/>
    </row>
    <row r="7" spans="1:17" ht="17.5" x14ac:dyDescent="0.55000000000000004">
      <c r="A7" s="15">
        <v>1151971.83</v>
      </c>
      <c r="B7" s="16">
        <f>DATE(2019,6,30)</f>
        <v>43646</v>
      </c>
      <c r="E7" s="20" t="s">
        <v>6</v>
      </c>
      <c r="F7" s="21">
        <v>3.9673375633003903E-2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-1192472.05</v>
      </c>
      <c r="B8" s="16">
        <f>DATE(2019,9,30)</f>
        <v>43738</v>
      </c>
      <c r="E8" s="20" t="s">
        <v>7</v>
      </c>
      <c r="F8" s="21">
        <v>0.15699015259742699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1192472.05</v>
      </c>
      <c r="B9" s="16">
        <f>DATE(2019,9,30)</f>
        <v>43738</v>
      </c>
      <c r="E9" s="20" t="s">
        <v>8</v>
      </c>
      <c r="F9" s="21">
        <v>9.5579192042350797E-2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-1255905.93</v>
      </c>
      <c r="B10" s="16">
        <f>DATE(2019,12,31)</f>
        <v>43830</v>
      </c>
      <c r="E10" s="20" t="s">
        <v>9</v>
      </c>
      <c r="F10" s="21">
        <v>0.13323540091514599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1255905.93</v>
      </c>
      <c r="B11" s="16">
        <f>DATE(2019,12,31)</f>
        <v>43830</v>
      </c>
      <c r="E11" s="20" t="s">
        <v>10</v>
      </c>
      <c r="F11" s="21">
        <v>0.15173109173774699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-1070288.82962118</v>
      </c>
      <c r="B12" s="16">
        <f>DATE(2020,3,31)</f>
        <v>43921</v>
      </c>
      <c r="E12" s="22" t="s">
        <v>11</v>
      </c>
      <c r="F12" s="21">
        <v>0.15173109173774699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1070288.82962118</v>
      </c>
      <c r="B13" s="16">
        <f>DATE(2020,3,31)</f>
        <v>43921</v>
      </c>
      <c r="E13" s="20">
        <v>2019</v>
      </c>
      <c r="F13" s="21">
        <v>0.25590593218803398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-1257391.8148767999</v>
      </c>
      <c r="B14" s="16">
        <f>DATE(2020,6,30)</f>
        <v>44012</v>
      </c>
      <c r="E14" s="20">
        <v>2020</v>
      </c>
      <c r="F14" s="21">
        <v>0.183119815587997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1257391.8148767999</v>
      </c>
      <c r="B15" s="16">
        <f>DATE(2020,6,30)</f>
        <v>44012</v>
      </c>
      <c r="E15" s="20">
        <v>2021</v>
      </c>
      <c r="F15" s="21">
        <v>0.32586806416511499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-1349411.6207226799</v>
      </c>
      <c r="B16" s="16">
        <f>DATE(2020,9,30)</f>
        <v>44104</v>
      </c>
      <c r="E16" s="20">
        <v>2022</v>
      </c>
      <c r="F16" s="21">
        <v>-0.12491061724722401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7" ht="17.5" x14ac:dyDescent="0.55000000000000004">
      <c r="A17" s="15">
        <v>1349411.6207226799</v>
      </c>
      <c r="B17" s="16">
        <f>DATE(2020,9,30)</f>
        <v>44104</v>
      </c>
      <c r="E17" s="20">
        <v>2023</v>
      </c>
      <c r="F17" s="21">
        <v>0.17107235789299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7" ht="17.5" x14ac:dyDescent="0.55000000000000004">
      <c r="A18" s="15">
        <v>-1486571.8925457499</v>
      </c>
      <c r="B18" s="16">
        <f>DATE(2020,12,31)</f>
        <v>44196</v>
      </c>
      <c r="E18" s="20">
        <v>2024</v>
      </c>
      <c r="F18" s="23">
        <v>3.9673375633003903E-2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7" ht="17.5" x14ac:dyDescent="0.55000000000000004">
      <c r="A19" s="15">
        <v>1486571.8925457499</v>
      </c>
      <c r="B19" s="16">
        <f>DATE(2020,12,31)</f>
        <v>44196</v>
      </c>
      <c r="D19" s="24"/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7" ht="17.5" x14ac:dyDescent="0.55000000000000004">
      <c r="A20" s="15">
        <v>-1596538.3402233401</v>
      </c>
      <c r="B20" s="16">
        <f>DATE(2021,3,31)</f>
        <v>44286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7" ht="17.5" x14ac:dyDescent="0.55000000000000004">
      <c r="A21" s="15">
        <v>1596538.3402233401</v>
      </c>
      <c r="B21" s="16">
        <f>DATE(2021,3,31)</f>
        <v>44286</v>
      </c>
      <c r="E21" s="20">
        <v>2027</v>
      </c>
      <c r="F21" s="23">
        <v>0</v>
      </c>
      <c r="G21" s="17"/>
      <c r="H21" s="17">
        <f t="shared" si="0"/>
        <v>0</v>
      </c>
      <c r="I21" s="17">
        <f t="shared" si="1"/>
        <v>0</v>
      </c>
      <c r="J21" s="17">
        <f t="shared" ca="1" si="2"/>
        <v>0</v>
      </c>
    </row>
    <row r="22" spans="1:17" ht="17.5" x14ac:dyDescent="0.55000000000000004">
      <c r="A22" s="15">
        <v>-1729758.2912921901</v>
      </c>
      <c r="B22" s="16">
        <f>DATE(2021,6,30)</f>
        <v>44377</v>
      </c>
      <c r="E22" s="20">
        <v>2028</v>
      </c>
      <c r="F22" s="23">
        <v>0</v>
      </c>
      <c r="G22" s="17"/>
      <c r="H22" s="17">
        <f t="shared" si="0"/>
        <v>0</v>
      </c>
      <c r="I22" s="17">
        <f t="shared" si="1"/>
        <v>0</v>
      </c>
      <c r="J22" s="17">
        <f t="shared" ca="1" si="2"/>
        <v>0</v>
      </c>
    </row>
    <row r="23" spans="1:17" ht="17.5" x14ac:dyDescent="0.55000000000000004">
      <c r="A23" s="15">
        <v>1729758.2912921901</v>
      </c>
      <c r="B23" s="16">
        <f>DATE(2021,6,30)</f>
        <v>44377</v>
      </c>
      <c r="E23" s="20">
        <v>2029</v>
      </c>
      <c r="F23" s="23">
        <v>0</v>
      </c>
      <c r="G23" s="17"/>
      <c r="H23" s="17">
        <f t="shared" si="0"/>
        <v>0</v>
      </c>
      <c r="I23" s="17">
        <f t="shared" si="1"/>
        <v>0</v>
      </c>
      <c r="J23" s="17">
        <f t="shared" ca="1" si="2"/>
        <v>0</v>
      </c>
    </row>
    <row r="24" spans="1:17" ht="17.5" x14ac:dyDescent="0.55000000000000004">
      <c r="A24" s="15">
        <v>-1823565.3335576199</v>
      </c>
      <c r="B24" s="16">
        <f>DATE(2021,9,30)</f>
        <v>44469</v>
      </c>
      <c r="E24" s="20">
        <v>2030</v>
      </c>
      <c r="F24" s="23">
        <v>0</v>
      </c>
      <c r="G24" s="17"/>
      <c r="H24" s="17">
        <f t="shared" si="0"/>
        <v>0</v>
      </c>
      <c r="I24" s="17">
        <f t="shared" si="1"/>
        <v>0</v>
      </c>
      <c r="J24" s="17">
        <f t="shared" ca="1" si="2"/>
        <v>0</v>
      </c>
    </row>
    <row r="25" spans="1:17" ht="17.5" x14ac:dyDescent="0.55000000000000004">
      <c r="A25" s="15">
        <v>1823565.3335576199</v>
      </c>
      <c r="B25" s="16">
        <f>DATE(2021,9,30)</f>
        <v>44469</v>
      </c>
      <c r="E25" s="20">
        <v>2031</v>
      </c>
      <c r="F25" s="23">
        <v>0</v>
      </c>
      <c r="G25" s="17"/>
      <c r="H25" s="17">
        <f t="shared" si="0"/>
        <v>0</v>
      </c>
      <c r="I25" s="17">
        <f t="shared" si="1"/>
        <v>0</v>
      </c>
      <c r="J25" s="17">
        <f t="shared" ca="1" si="2"/>
        <v>0</v>
      </c>
    </row>
    <row r="26" spans="1:17" ht="17.5" x14ac:dyDescent="0.55000000000000004">
      <c r="A26" s="15">
        <v>-1970998.2058019999</v>
      </c>
      <c r="B26" s="16">
        <f>DATE(2021,12,31)</f>
        <v>44561</v>
      </c>
      <c r="G26" s="17"/>
      <c r="H26" s="17">
        <f t="shared" si="0"/>
        <v>0</v>
      </c>
      <c r="I26" s="17">
        <f t="shared" si="1"/>
        <v>0</v>
      </c>
      <c r="J26" s="17">
        <f t="shared" ca="1" si="2"/>
        <v>0</v>
      </c>
    </row>
    <row r="27" spans="1:17" ht="17.5" x14ac:dyDescent="0.55000000000000004">
      <c r="A27" s="15">
        <v>1970998.2058019999</v>
      </c>
      <c r="B27" s="16">
        <f>DATE(2021,12,31)</f>
        <v>44561</v>
      </c>
      <c r="G27" s="17"/>
      <c r="H27" s="17">
        <f t="shared" si="0"/>
        <v>0</v>
      </c>
      <c r="I27" s="17">
        <f t="shared" si="1"/>
        <v>0</v>
      </c>
      <c r="J27" s="17">
        <f t="shared" ca="1" si="2"/>
        <v>0</v>
      </c>
    </row>
    <row r="28" spans="1:17" ht="17.5" x14ac:dyDescent="0.55000000000000004">
      <c r="A28" s="15">
        <v>-1877898.7288961201</v>
      </c>
      <c r="B28" s="16">
        <f>DATE(2022,3,31)</f>
        <v>44651</v>
      </c>
      <c r="G28" s="17"/>
      <c r="H28" s="17">
        <f t="shared" si="0"/>
        <v>0</v>
      </c>
      <c r="I28" s="17">
        <f t="shared" si="1"/>
        <v>0</v>
      </c>
      <c r="J28" s="17">
        <f t="shared" ca="1" si="2"/>
        <v>0</v>
      </c>
    </row>
    <row r="29" spans="1:17" ht="17.5" x14ac:dyDescent="0.55000000000000004">
      <c r="A29" s="15">
        <v>1877898.7288961201</v>
      </c>
      <c r="B29" s="16">
        <f>DATE(2022,3,31)</f>
        <v>44651</v>
      </c>
      <c r="D29" s="17"/>
      <c r="E29" s="17"/>
      <c r="F29" s="25"/>
      <c r="G29" s="17"/>
      <c r="H29" s="17">
        <f t="shared" si="0"/>
        <v>0</v>
      </c>
      <c r="I29" s="17">
        <f t="shared" si="1"/>
        <v>0</v>
      </c>
      <c r="J29" s="17">
        <f t="shared" ca="1" si="2"/>
        <v>0</v>
      </c>
      <c r="Q29" s="26"/>
    </row>
    <row r="30" spans="1:17" ht="17.5" x14ac:dyDescent="0.55000000000000004">
      <c r="A30" s="15">
        <v>-1598202.3936475799</v>
      </c>
      <c r="B30" s="16">
        <f>DATE(2022,6,30)</f>
        <v>44742</v>
      </c>
      <c r="D30" s="17"/>
      <c r="E30" s="17"/>
      <c r="F30" s="25"/>
      <c r="G30" s="17"/>
      <c r="H30" s="17">
        <f t="shared" si="0"/>
        <v>0</v>
      </c>
      <c r="I30" s="17">
        <f t="shared" si="1"/>
        <v>0</v>
      </c>
      <c r="J30" s="17">
        <f t="shared" ca="1" si="2"/>
        <v>0</v>
      </c>
    </row>
    <row r="31" spans="1:17" ht="17.5" x14ac:dyDescent="0.55000000000000004">
      <c r="A31" s="15">
        <v>1598202.3936475799</v>
      </c>
      <c r="B31" s="16">
        <f>DATE(2022,6,30)</f>
        <v>44742</v>
      </c>
      <c r="H31" s="17">
        <f t="shared" si="0"/>
        <v>0</v>
      </c>
      <c r="I31" s="17">
        <f t="shared" si="1"/>
        <v>0</v>
      </c>
      <c r="J31" s="17">
        <f t="shared" ca="1" si="2"/>
        <v>0</v>
      </c>
    </row>
    <row r="32" spans="1:17" ht="17.5" x14ac:dyDescent="0.55000000000000004">
      <c r="A32" s="15">
        <v>-1656915.0178211301</v>
      </c>
      <c r="B32" s="16">
        <f>DATE(2022,9,30)</f>
        <v>44834</v>
      </c>
      <c r="C32" s="26"/>
      <c r="H32" s="17">
        <f t="shared" si="0"/>
        <v>0</v>
      </c>
      <c r="I32" s="17">
        <f t="shared" si="1"/>
        <v>0</v>
      </c>
      <c r="J32" s="17">
        <f t="shared" ca="1" si="2"/>
        <v>0</v>
      </c>
    </row>
    <row r="33" spans="1:10" ht="17.5" x14ac:dyDescent="0.55000000000000004">
      <c r="A33" s="15">
        <v>1656915.0178211301</v>
      </c>
      <c r="B33" s="16">
        <f>DATE(2022,9,30)</f>
        <v>44834</v>
      </c>
      <c r="E33" s="26"/>
      <c r="H33" s="17">
        <f t="shared" si="0"/>
        <v>0</v>
      </c>
      <c r="I33" s="17">
        <f t="shared" si="1"/>
        <v>0</v>
      </c>
      <c r="J33" s="17">
        <f t="shared" ca="1" si="2"/>
        <v>0</v>
      </c>
    </row>
    <row r="34" spans="1:10" ht="17.5" x14ac:dyDescent="0.55000000000000004">
      <c r="A34" s="15">
        <v>-1724799.6080229301</v>
      </c>
      <c r="B34" s="16">
        <f>DATE(2022,12,31)</f>
        <v>44926</v>
      </c>
      <c r="E34" s="24"/>
      <c r="H34" s="17">
        <f t="shared" si="0"/>
        <v>0</v>
      </c>
      <c r="I34" s="17">
        <f t="shared" si="1"/>
        <v>0</v>
      </c>
      <c r="J34" s="17">
        <f t="shared" ca="1" si="2"/>
        <v>0</v>
      </c>
    </row>
    <row r="35" spans="1:10" ht="17.5" x14ac:dyDescent="0.55000000000000004">
      <c r="A35" s="15">
        <v>1724799.6080229301</v>
      </c>
      <c r="B35" s="16">
        <f>DATE(2022,12,31)</f>
        <v>44926</v>
      </c>
      <c r="H35" s="17">
        <f t="shared" si="0"/>
        <v>0</v>
      </c>
      <c r="I35" s="17">
        <f t="shared" si="1"/>
        <v>0</v>
      </c>
      <c r="J35" s="17">
        <f t="shared" ca="1" si="2"/>
        <v>0</v>
      </c>
    </row>
    <row r="36" spans="1:10" ht="17.5" x14ac:dyDescent="0.55000000000000004">
      <c r="A36" s="15">
        <v>-1814329.3430901</v>
      </c>
      <c r="B36" s="16">
        <f>DATE(2023,3,31)</f>
        <v>45016</v>
      </c>
      <c r="H36" s="17">
        <f t="shared" si="0"/>
        <v>0</v>
      </c>
      <c r="I36" s="17">
        <f t="shared" si="1"/>
        <v>0</v>
      </c>
      <c r="J36" s="17">
        <f t="shared" ca="1" si="2"/>
        <v>0</v>
      </c>
    </row>
    <row r="37" spans="1:10" ht="17.5" x14ac:dyDescent="0.55000000000000004">
      <c r="A37" s="15">
        <v>1814329.3430901</v>
      </c>
      <c r="B37" s="16">
        <f>DATE(2023,3,31)</f>
        <v>45016</v>
      </c>
      <c r="H37" s="17">
        <f t="shared" si="0"/>
        <v>0</v>
      </c>
      <c r="I37" s="17">
        <f t="shared" si="1"/>
        <v>0</v>
      </c>
      <c r="J37" s="17">
        <f t="shared" ca="1" si="2"/>
        <v>0</v>
      </c>
    </row>
    <row r="38" spans="1:10" ht="17.5" x14ac:dyDescent="0.55000000000000004">
      <c r="A38" s="15">
        <v>-1878131.16155072</v>
      </c>
      <c r="B38" s="16">
        <f>DATE(2023,6,30)</f>
        <v>45107</v>
      </c>
      <c r="H38" s="17">
        <f t="shared" si="0"/>
        <v>0</v>
      </c>
      <c r="I38" s="17">
        <f t="shared" si="1"/>
        <v>0</v>
      </c>
      <c r="J38" s="17">
        <f t="shared" ca="1" si="2"/>
        <v>0</v>
      </c>
    </row>
    <row r="39" spans="1:10" ht="17.5" x14ac:dyDescent="0.55000000000000004">
      <c r="A39" s="15">
        <v>1878131.16155072</v>
      </c>
      <c r="B39" s="16">
        <f>DATE(2023,6,30)</f>
        <v>45107</v>
      </c>
      <c r="H39" s="17">
        <f t="shared" si="0"/>
        <v>0</v>
      </c>
      <c r="I39" s="17">
        <f t="shared" si="1"/>
        <v>0</v>
      </c>
      <c r="J39" s="17">
        <f t="shared" ca="1" si="2"/>
        <v>0</v>
      </c>
    </row>
    <row r="40" spans="1:10" ht="17.5" x14ac:dyDescent="0.55000000000000004">
      <c r="A40" s="15">
        <v>-1821126.4168881499</v>
      </c>
      <c r="B40" s="16">
        <f>DATE(2023,9,30)</f>
        <v>45199</v>
      </c>
      <c r="H40" s="17">
        <f t="shared" si="0"/>
        <v>0</v>
      </c>
      <c r="I40" s="17">
        <f t="shared" si="1"/>
        <v>0</v>
      </c>
      <c r="J40" s="17">
        <f t="shared" ca="1" si="2"/>
        <v>0</v>
      </c>
    </row>
    <row r="41" spans="1:10" ht="17.5" x14ac:dyDescent="0.55000000000000004">
      <c r="A41" s="15">
        <v>1821126.4168881499</v>
      </c>
      <c r="B41" s="16">
        <f>DATE(2023,9,30)</f>
        <v>45199</v>
      </c>
      <c r="H41" s="17">
        <f t="shared" si="0"/>
        <v>0</v>
      </c>
      <c r="I41" s="17">
        <f t="shared" si="1"/>
        <v>0</v>
      </c>
      <c r="J41" s="17">
        <f t="shared" ca="1" si="2"/>
        <v>0</v>
      </c>
    </row>
    <row r="42" spans="1:10" ht="17.5" x14ac:dyDescent="0.55000000000000004">
      <c r="A42" s="15">
        <v>-2019865.13373583</v>
      </c>
      <c r="B42" s="16">
        <f>DATE(2023,12,31)</f>
        <v>45291</v>
      </c>
      <c r="H42" s="17">
        <f t="shared" si="0"/>
        <v>0</v>
      </c>
      <c r="I42" s="17">
        <f t="shared" si="1"/>
        <v>0</v>
      </c>
      <c r="J42" s="17">
        <f t="shared" ca="1" si="2"/>
        <v>0</v>
      </c>
    </row>
    <row r="43" spans="1:10" ht="17.5" x14ac:dyDescent="0.55000000000000004">
      <c r="A43" s="15">
        <v>2019865.13373583</v>
      </c>
      <c r="B43" s="16">
        <f>DATE(2023,12,31)</f>
        <v>45291</v>
      </c>
      <c r="H43" s="17">
        <f t="shared" si="0"/>
        <v>0</v>
      </c>
      <c r="I43" s="17">
        <f t="shared" si="1"/>
        <v>0</v>
      </c>
      <c r="J43" s="17">
        <f t="shared" ca="1" si="2"/>
        <v>0</v>
      </c>
    </row>
    <row r="44" spans="1:10" ht="17.5" x14ac:dyDescent="0.55000000000000004">
      <c r="A44" s="27">
        <v>-2100000</v>
      </c>
      <c r="B44" s="16">
        <f>DATE(2024,3,31)</f>
        <v>45382</v>
      </c>
      <c r="H44" s="17">
        <f t="shared" si="0"/>
        <v>0</v>
      </c>
      <c r="I44" s="17">
        <f t="shared" si="1"/>
        <v>0</v>
      </c>
      <c r="J44" s="17">
        <f t="shared" ca="1" si="2"/>
        <v>0</v>
      </c>
    </row>
    <row r="45" spans="1:10" ht="17.5" x14ac:dyDescent="0.55000000000000004">
      <c r="A45" s="27"/>
      <c r="B45" s="16"/>
      <c r="H45" s="17"/>
      <c r="I45" s="17"/>
      <c r="J45" s="17"/>
    </row>
    <row r="46" spans="1:10" ht="17.5" x14ac:dyDescent="0.55000000000000004">
      <c r="A46" s="27"/>
      <c r="B46" s="16"/>
      <c r="H46" s="17"/>
      <c r="I46" s="17"/>
      <c r="J46" s="17"/>
    </row>
    <row r="47" spans="1:10" x14ac:dyDescent="0.45">
      <c r="A47" s="27"/>
      <c r="B47" s="16"/>
    </row>
    <row r="48" spans="1:10" x14ac:dyDescent="0.45">
      <c r="A48" s="27"/>
    </row>
    <row r="49" spans="1:1" x14ac:dyDescent="0.45">
      <c r="A49" s="27"/>
    </row>
    <row r="50" spans="1:1" x14ac:dyDescent="0.45">
      <c r="A50" s="27"/>
    </row>
  </sheetData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Q48"/>
  <sheetViews>
    <sheetView topLeftCell="A22" zoomScale="98" zoomScaleNormal="140" workbookViewId="0">
      <selection activeCell="A44" sqref="A44:B44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6384" width="9.1796875" style="1"/>
  </cols>
  <sheetData>
    <row r="1" spans="1:17" x14ac:dyDescent="0.45">
      <c r="A1" s="12" t="s">
        <v>32</v>
      </c>
      <c r="B1" s="13" t="s">
        <v>33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DATE(2018,12,31)</f>
        <v>43465</v>
      </c>
      <c r="C3" s="1" t="s">
        <v>27</v>
      </c>
      <c r="G3" s="17"/>
      <c r="H3" s="17">
        <f t="shared" ref="H3:H44" si="0">IF(AND(DATE($O$3,$P$3,$Q$3)&lt;=$B3, $B3&lt;=DATE($O$4,$P$4,$Q$4)), IF(AND(H4=0, $A3 &gt; 0), 0, 1), IF(AND(H4&lt;&gt;0, $A3 &gt; 0), 1, 0))</f>
        <v>0</v>
      </c>
      <c r="I3" s="17">
        <f t="shared" ref="I3:I44" si="1">IF(OR($H4&lt;&gt;0,$H3=0), 0, 1)</f>
        <v>0</v>
      </c>
      <c r="J3" s="17">
        <f t="shared" ref="J3:J44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-1128110.6599999999</v>
      </c>
      <c r="B4" s="16">
        <f>DATE(2019,3,31)</f>
        <v>43555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1128110.6596361999</v>
      </c>
      <c r="B5" s="16">
        <f>DATE(2019,3,31)</f>
        <v>43555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-1153231.67</v>
      </c>
      <c r="B6" s="16">
        <f>DATE(2019,6,30)</f>
        <v>43646</v>
      </c>
      <c r="E6" s="20" t="s">
        <v>5</v>
      </c>
      <c r="F6" s="21">
        <v>0.119200899214503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</row>
    <row r="7" spans="1:17" ht="17.5" x14ac:dyDescent="0.55000000000000004">
      <c r="A7" s="15">
        <v>1153231.67</v>
      </c>
      <c r="B7" s="16">
        <f>DATE(2019,6,30)</f>
        <v>43646</v>
      </c>
      <c r="E7" s="20" t="s">
        <v>6</v>
      </c>
      <c r="F7" s="21">
        <v>0.119200899214503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-1202260.6235917399</v>
      </c>
      <c r="B8" s="16">
        <f>DATE(2019,9,30)</f>
        <v>43738</v>
      </c>
      <c r="E8" s="20" t="s">
        <v>7</v>
      </c>
      <c r="F8" s="21">
        <v>0.216127878427506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1202260.6235917399</v>
      </c>
      <c r="B9" s="16">
        <f>DATE(2019,9,30)</f>
        <v>43738</v>
      </c>
      <c r="E9" s="20" t="s">
        <v>8</v>
      </c>
      <c r="F9" s="21">
        <v>0.108026546239853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-1241777.475196</v>
      </c>
      <c r="B10" s="16">
        <f>DATE(2019,12,31)</f>
        <v>43830</v>
      </c>
      <c r="E10" s="20" t="s">
        <v>9</v>
      </c>
      <c r="F10" s="21">
        <v>0.121195155382156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1241777.475196</v>
      </c>
      <c r="B11" s="16">
        <f>DATE(2019,12,31)</f>
        <v>43830</v>
      </c>
      <c r="E11" s="20" t="s">
        <v>10</v>
      </c>
      <c r="F11" s="21">
        <v>0.141081362962723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-1068530.4575014401</v>
      </c>
      <c r="B12" s="16">
        <f>DATE(2020,3,31)</f>
        <v>43921</v>
      </c>
      <c r="E12" s="20" t="s">
        <v>11</v>
      </c>
      <c r="F12" s="21">
        <v>0.141081362962723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1068530.4575014401</v>
      </c>
      <c r="B13" s="16">
        <f>DATE(2020,3,31)</f>
        <v>43921</v>
      </c>
      <c r="E13" s="20">
        <v>2019</v>
      </c>
      <c r="F13" s="21">
        <v>0.24177747368812599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-1202271.15201529</v>
      </c>
      <c r="B14" s="16">
        <f>DATE(2020,6,30)</f>
        <v>44012</v>
      </c>
      <c r="E14" s="20">
        <v>2020</v>
      </c>
      <c r="F14" s="21">
        <v>0.120374912023544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1202271.15201529</v>
      </c>
      <c r="B15" s="16">
        <f>DATE(2020,6,30)</f>
        <v>44012</v>
      </c>
      <c r="E15" s="20">
        <v>2021</v>
      </c>
      <c r="F15" s="21">
        <v>0.29828409552574198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-1275309.6225884701</v>
      </c>
      <c r="B16" s="16">
        <f>DATE(2020,9,30)</f>
        <v>44104</v>
      </c>
      <c r="E16" s="20">
        <v>2022</v>
      </c>
      <c r="F16" s="21">
        <v>-0.12976603247225299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0" ht="17.5" x14ac:dyDescent="0.55000000000000004">
      <c r="A17" s="15">
        <v>1275309.6225884701</v>
      </c>
      <c r="B17" s="16">
        <f>DATE(2020,9,30)</f>
        <v>44104</v>
      </c>
      <c r="E17" s="20">
        <v>2023</v>
      </c>
      <c r="F17" s="21">
        <v>0.136511355638504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0" ht="17.5" x14ac:dyDescent="0.55000000000000004">
      <c r="A18" s="15">
        <v>-1391689.64685847</v>
      </c>
      <c r="B18" s="16">
        <f>DATE(2020,12,31)</f>
        <v>44196</v>
      </c>
      <c r="E18" s="20">
        <v>2024</v>
      </c>
      <c r="F18" s="21">
        <v>0.119200899214503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0" ht="17.5" x14ac:dyDescent="0.55000000000000004">
      <c r="A19" s="15">
        <v>1391689.64685847</v>
      </c>
      <c r="B19" s="16">
        <f>DATE(2020,12,31)</f>
        <v>44196</v>
      </c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0" ht="17.5" x14ac:dyDescent="0.55000000000000004">
      <c r="A20" s="15">
        <v>-1469797.2748700001</v>
      </c>
      <c r="B20" s="16">
        <f>DATE(2021,3,31)</f>
        <v>44286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0" ht="17.5" x14ac:dyDescent="0.55000000000000004">
      <c r="A21" s="15">
        <v>1469797.2748700001</v>
      </c>
      <c r="B21" s="16">
        <f>DATE(2021,3,31)</f>
        <v>44286</v>
      </c>
      <c r="E21" s="20">
        <v>2027</v>
      </c>
      <c r="F21" s="23">
        <v>0</v>
      </c>
      <c r="G21" s="17"/>
      <c r="H21" s="17">
        <f t="shared" si="0"/>
        <v>0</v>
      </c>
      <c r="I21" s="17">
        <f t="shared" si="1"/>
        <v>0</v>
      </c>
      <c r="J21" s="17">
        <f t="shared" ca="1" si="2"/>
        <v>0</v>
      </c>
    </row>
    <row r="22" spans="1:10" ht="17.5" x14ac:dyDescent="0.55000000000000004">
      <c r="A22" s="15">
        <v>-1586071.36329795</v>
      </c>
      <c r="B22" s="16">
        <f>DATE(2021,6,30)</f>
        <v>44377</v>
      </c>
      <c r="E22" s="20">
        <v>2028</v>
      </c>
      <c r="F22" s="23">
        <v>0</v>
      </c>
      <c r="G22" s="17"/>
      <c r="H22" s="17">
        <f t="shared" si="0"/>
        <v>0</v>
      </c>
      <c r="I22" s="17">
        <f t="shared" si="1"/>
        <v>0</v>
      </c>
      <c r="J22" s="17">
        <f t="shared" ca="1" si="2"/>
        <v>0</v>
      </c>
    </row>
    <row r="23" spans="1:10" ht="17.5" x14ac:dyDescent="0.55000000000000004">
      <c r="A23" s="15">
        <v>1586071.36329795</v>
      </c>
      <c r="B23" s="16">
        <f>DATE(2021,6,30)</f>
        <v>44377</v>
      </c>
      <c r="E23" s="20">
        <v>2029</v>
      </c>
      <c r="F23" s="23">
        <v>0</v>
      </c>
      <c r="G23" s="17"/>
      <c r="H23" s="17">
        <f t="shared" si="0"/>
        <v>0</v>
      </c>
      <c r="I23" s="17">
        <f t="shared" si="1"/>
        <v>0</v>
      </c>
      <c r="J23" s="17">
        <f t="shared" ca="1" si="2"/>
        <v>0</v>
      </c>
    </row>
    <row r="24" spans="1:10" ht="17.5" x14ac:dyDescent="0.55000000000000004">
      <c r="A24" s="15">
        <v>-1653741.83256237</v>
      </c>
      <c r="B24" s="16">
        <f>DATE(2021,9,30)</f>
        <v>44469</v>
      </c>
      <c r="E24" s="20">
        <v>2030</v>
      </c>
      <c r="F24" s="23">
        <v>0</v>
      </c>
      <c r="G24" s="17"/>
      <c r="H24" s="17">
        <f t="shared" si="0"/>
        <v>0</v>
      </c>
      <c r="I24" s="17">
        <f t="shared" si="1"/>
        <v>0</v>
      </c>
      <c r="J24" s="17">
        <f t="shared" ca="1" si="2"/>
        <v>0</v>
      </c>
    </row>
    <row r="25" spans="1:10" ht="17.5" x14ac:dyDescent="0.55000000000000004">
      <c r="A25" s="15">
        <v>1653741.83256237</v>
      </c>
      <c r="B25" s="16">
        <f>DATE(2021,9,30)</f>
        <v>44469</v>
      </c>
      <c r="E25" s="20">
        <v>2031</v>
      </c>
      <c r="F25" s="23">
        <v>0</v>
      </c>
      <c r="G25" s="17"/>
      <c r="H25" s="17">
        <f t="shared" si="0"/>
        <v>0</v>
      </c>
      <c r="I25" s="17">
        <f t="shared" si="1"/>
        <v>0</v>
      </c>
      <c r="J25" s="17">
        <f t="shared" ca="1" si="2"/>
        <v>0</v>
      </c>
    </row>
    <row r="26" spans="1:10" ht="17.5" x14ac:dyDescent="0.55000000000000004">
      <c r="A26" s="15">
        <v>-1806808.532842</v>
      </c>
      <c r="B26" s="16">
        <f>DATE(2021,12,31)</f>
        <v>44561</v>
      </c>
      <c r="G26" s="17"/>
      <c r="H26" s="17">
        <f t="shared" si="0"/>
        <v>0</v>
      </c>
      <c r="I26" s="17">
        <f t="shared" si="1"/>
        <v>0</v>
      </c>
      <c r="J26" s="17">
        <f t="shared" ca="1" si="2"/>
        <v>0</v>
      </c>
    </row>
    <row r="27" spans="1:10" ht="17.5" x14ac:dyDescent="0.55000000000000004">
      <c r="A27" s="15">
        <v>1806808.532842</v>
      </c>
      <c r="B27" s="16">
        <f>DATE(2021,12,31)</f>
        <v>44561</v>
      </c>
      <c r="C27" s="26"/>
      <c r="G27" s="17"/>
      <c r="H27" s="17">
        <f t="shared" si="0"/>
        <v>0</v>
      </c>
      <c r="I27" s="17">
        <f t="shared" si="1"/>
        <v>0</v>
      </c>
      <c r="J27" s="17">
        <f t="shared" ca="1" si="2"/>
        <v>0</v>
      </c>
    </row>
    <row r="28" spans="1:10" ht="17.5" x14ac:dyDescent="0.55000000000000004">
      <c r="A28" s="15">
        <v>-1745231.99705568</v>
      </c>
      <c r="B28" s="16">
        <f>DATE(2022,3,31)</f>
        <v>44651</v>
      </c>
      <c r="C28" s="26"/>
      <c r="G28" s="17"/>
      <c r="H28" s="17">
        <f t="shared" si="0"/>
        <v>0</v>
      </c>
      <c r="I28" s="17">
        <f t="shared" si="1"/>
        <v>0</v>
      </c>
      <c r="J28" s="17">
        <f t="shared" ca="1" si="2"/>
        <v>0</v>
      </c>
    </row>
    <row r="29" spans="1:10" ht="17.5" x14ac:dyDescent="0.55000000000000004">
      <c r="A29" s="15">
        <v>1745231.99705568</v>
      </c>
      <c r="B29" s="16">
        <f>DATE(2022,3,31)</f>
        <v>44651</v>
      </c>
      <c r="D29" s="17"/>
      <c r="E29" s="17"/>
      <c r="F29" s="25"/>
      <c r="G29" s="17"/>
      <c r="H29" s="17">
        <f t="shared" si="0"/>
        <v>0</v>
      </c>
      <c r="I29" s="17">
        <f t="shared" si="1"/>
        <v>0</v>
      </c>
      <c r="J29" s="17">
        <f t="shared" ca="1" si="2"/>
        <v>0</v>
      </c>
    </row>
    <row r="30" spans="1:10" ht="17.5" x14ac:dyDescent="0.55000000000000004">
      <c r="A30" s="15">
        <v>-1526457.7461254201</v>
      </c>
      <c r="B30" s="16">
        <f>DATE(2022,6,30)</f>
        <v>44742</v>
      </c>
      <c r="D30" s="17"/>
      <c r="E30" s="17"/>
      <c r="F30" s="25"/>
      <c r="G30" s="17"/>
      <c r="H30" s="17">
        <f t="shared" si="0"/>
        <v>0</v>
      </c>
      <c r="I30" s="17">
        <f t="shared" si="1"/>
        <v>0</v>
      </c>
      <c r="J30" s="17">
        <f t="shared" ca="1" si="2"/>
        <v>0</v>
      </c>
    </row>
    <row r="31" spans="1:10" ht="17.5" x14ac:dyDescent="0.55000000000000004">
      <c r="A31" s="15">
        <v>1526457.7461254201</v>
      </c>
      <c r="B31" s="16">
        <f>DATE(2022,6,30)</f>
        <v>44742</v>
      </c>
      <c r="H31" s="17">
        <f t="shared" si="0"/>
        <v>0</v>
      </c>
      <c r="I31" s="17">
        <f t="shared" si="1"/>
        <v>0</v>
      </c>
      <c r="J31" s="17">
        <f t="shared" ca="1" si="2"/>
        <v>0</v>
      </c>
    </row>
    <row r="32" spans="1:10" ht="17.5" x14ac:dyDescent="0.55000000000000004">
      <c r="A32" s="15">
        <v>-1538101.0236232199</v>
      </c>
      <c r="B32" s="16">
        <f>DATE(2022,9,30)</f>
        <v>44834</v>
      </c>
      <c r="H32" s="17">
        <f t="shared" si="0"/>
        <v>0</v>
      </c>
      <c r="I32" s="17">
        <f t="shared" si="1"/>
        <v>0</v>
      </c>
      <c r="J32" s="17">
        <f t="shared" ca="1" si="2"/>
        <v>0</v>
      </c>
    </row>
    <row r="33" spans="1:10" ht="17.5" x14ac:dyDescent="0.55000000000000004">
      <c r="A33" s="15">
        <v>1538101.0236232199</v>
      </c>
      <c r="B33" s="16">
        <f>DATE(2022,9,30)</f>
        <v>44834</v>
      </c>
      <c r="H33" s="17">
        <f t="shared" si="0"/>
        <v>0</v>
      </c>
      <c r="I33" s="17">
        <f t="shared" si="1"/>
        <v>0</v>
      </c>
      <c r="J33" s="17">
        <f t="shared" ca="1" si="2"/>
        <v>0</v>
      </c>
    </row>
    <row r="34" spans="1:10" ht="17.5" x14ac:dyDescent="0.55000000000000004">
      <c r="A34" s="15">
        <v>-1572346.1639916601</v>
      </c>
      <c r="B34" s="16">
        <f>DATE(2022,12,31)</f>
        <v>44926</v>
      </c>
      <c r="H34" s="17">
        <f t="shared" si="0"/>
        <v>0</v>
      </c>
      <c r="I34" s="17">
        <f t="shared" si="1"/>
        <v>0</v>
      </c>
      <c r="J34" s="17">
        <f t="shared" ca="1" si="2"/>
        <v>0</v>
      </c>
    </row>
    <row r="35" spans="1:10" ht="17.5" x14ac:dyDescent="0.55000000000000004">
      <c r="A35" s="15">
        <v>1572346.1639916601</v>
      </c>
      <c r="B35" s="16">
        <f>DATE(2022,12,31)</f>
        <v>44926</v>
      </c>
      <c r="H35" s="17">
        <f t="shared" si="0"/>
        <v>0</v>
      </c>
      <c r="I35" s="17">
        <f t="shared" si="1"/>
        <v>0</v>
      </c>
      <c r="J35" s="17">
        <f t="shared" ca="1" si="2"/>
        <v>0</v>
      </c>
    </row>
    <row r="36" spans="1:10" ht="17.5" x14ac:dyDescent="0.55000000000000004">
      <c r="A36" s="15">
        <v>-1643682.50489854</v>
      </c>
      <c r="B36" s="16">
        <f>DATE(2023,3,31)</f>
        <v>45016</v>
      </c>
      <c r="H36" s="17">
        <f t="shared" si="0"/>
        <v>0</v>
      </c>
      <c r="I36" s="17">
        <f t="shared" si="1"/>
        <v>0</v>
      </c>
      <c r="J36" s="17">
        <f t="shared" ca="1" si="2"/>
        <v>0</v>
      </c>
    </row>
    <row r="37" spans="1:10" ht="17.5" x14ac:dyDescent="0.55000000000000004">
      <c r="A37" s="15">
        <v>1643682.50489854</v>
      </c>
      <c r="B37" s="16">
        <f>DATE(2023,3,31)</f>
        <v>45016</v>
      </c>
      <c r="H37" s="17">
        <f t="shared" si="0"/>
        <v>0</v>
      </c>
      <c r="I37" s="17">
        <f t="shared" si="1"/>
        <v>0</v>
      </c>
      <c r="J37" s="17">
        <f t="shared" ca="1" si="2"/>
        <v>0</v>
      </c>
    </row>
    <row r="38" spans="1:10" ht="17.5" x14ac:dyDescent="0.55000000000000004">
      <c r="A38" s="15">
        <v>-1677725.18656138</v>
      </c>
      <c r="B38" s="16">
        <f>DATE(2023,6,30)</f>
        <v>45107</v>
      </c>
      <c r="H38" s="17">
        <f t="shared" si="0"/>
        <v>0</v>
      </c>
      <c r="I38" s="17">
        <f t="shared" si="1"/>
        <v>0</v>
      </c>
      <c r="J38" s="17">
        <f t="shared" ca="1" si="2"/>
        <v>0</v>
      </c>
    </row>
    <row r="39" spans="1:10" ht="17.5" x14ac:dyDescent="0.55000000000000004">
      <c r="A39" s="15">
        <v>1677725.18656138</v>
      </c>
      <c r="B39" s="16">
        <f>DATE(2023,6,30)</f>
        <v>45107</v>
      </c>
      <c r="H39" s="17">
        <f t="shared" si="0"/>
        <v>0</v>
      </c>
      <c r="I39" s="17">
        <f t="shared" si="1"/>
        <v>0</v>
      </c>
      <c r="J39" s="17">
        <f t="shared" ca="1" si="2"/>
        <v>0</v>
      </c>
    </row>
    <row r="40" spans="1:10" ht="17.5" x14ac:dyDescent="0.55000000000000004">
      <c r="A40" s="15">
        <v>-1621284.8817932601</v>
      </c>
      <c r="B40" s="16">
        <f>DATE(2023,9,30)</f>
        <v>45199</v>
      </c>
      <c r="H40" s="17">
        <f t="shared" si="0"/>
        <v>0</v>
      </c>
      <c r="I40" s="17">
        <f t="shared" si="1"/>
        <v>0</v>
      </c>
      <c r="J40" s="17">
        <f t="shared" ca="1" si="2"/>
        <v>0</v>
      </c>
    </row>
    <row r="41" spans="1:10" ht="17.5" x14ac:dyDescent="0.55000000000000004">
      <c r="A41" s="15">
        <v>1621284.8817932601</v>
      </c>
      <c r="B41" s="16">
        <f>DATE(2023,9,30)</f>
        <v>45199</v>
      </c>
      <c r="H41" s="17">
        <f t="shared" si="0"/>
        <v>0</v>
      </c>
      <c r="I41" s="17">
        <f t="shared" si="1"/>
        <v>0</v>
      </c>
      <c r="J41" s="17">
        <f t="shared" ca="1" si="2"/>
        <v>0</v>
      </c>
    </row>
    <row r="42" spans="1:10" ht="17.5" x14ac:dyDescent="0.55000000000000004">
      <c r="A42" s="15">
        <v>-1786989.2729372799</v>
      </c>
      <c r="B42" s="16">
        <f>DATE(2023,12,31)</f>
        <v>45291</v>
      </c>
      <c r="H42" s="17">
        <f t="shared" si="0"/>
        <v>0</v>
      </c>
      <c r="I42" s="17">
        <f t="shared" si="1"/>
        <v>0</v>
      </c>
      <c r="J42" s="17">
        <f t="shared" ca="1" si="2"/>
        <v>0</v>
      </c>
    </row>
    <row r="43" spans="1:10" ht="17.5" x14ac:dyDescent="0.55000000000000004">
      <c r="A43" s="15">
        <v>1786989.2729372799</v>
      </c>
      <c r="B43" s="16">
        <f>DATE(2023,12,31)</f>
        <v>45291</v>
      </c>
      <c r="H43" s="17">
        <f t="shared" si="0"/>
        <v>0</v>
      </c>
      <c r="I43" s="17">
        <f t="shared" si="1"/>
        <v>0</v>
      </c>
      <c r="J43" s="17">
        <f t="shared" ca="1" si="2"/>
        <v>0</v>
      </c>
    </row>
    <row r="44" spans="1:10" ht="17.5" x14ac:dyDescent="0.55000000000000004">
      <c r="A44" s="15">
        <v>-2000000</v>
      </c>
      <c r="B44" s="16">
        <f>DATE(2024,3,31)</f>
        <v>45382</v>
      </c>
      <c r="H44" s="17">
        <f t="shared" si="0"/>
        <v>0</v>
      </c>
      <c r="I44" s="17">
        <f t="shared" si="1"/>
        <v>0</v>
      </c>
      <c r="J44" s="17">
        <f t="shared" ca="1" si="2"/>
        <v>0</v>
      </c>
    </row>
    <row r="45" spans="1:10" x14ac:dyDescent="0.45">
      <c r="A45" s="15"/>
      <c r="B45" s="16">
        <f>DATE(2024,3,31)</f>
        <v>45382</v>
      </c>
    </row>
    <row r="46" spans="1:10" x14ac:dyDescent="0.45">
      <c r="A46" s="15"/>
    </row>
    <row r="47" spans="1:10" x14ac:dyDescent="0.45">
      <c r="A47" s="15"/>
    </row>
    <row r="48" spans="1:10" x14ac:dyDescent="0.45">
      <c r="A48" s="15"/>
    </row>
  </sheetData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114"/>
  <sheetViews>
    <sheetView zoomScale="120" zoomScaleNormal="140" workbookViewId="0">
      <selection activeCell="B20" sqref="A20:B20"/>
    </sheetView>
  </sheetViews>
  <sheetFormatPr defaultColWidth="9.1796875" defaultRowHeight="16.5" x14ac:dyDescent="0.45"/>
  <cols>
    <col min="1" max="1" width="28" style="1" customWidth="1"/>
    <col min="2" max="2" width="16.7265625" style="1" customWidth="1"/>
    <col min="3" max="3" width="18.7265625" style="1" customWidth="1"/>
    <col min="4" max="4" width="10.7265625" style="1" customWidth="1"/>
    <col min="5" max="5" width="14.7265625" style="1" customWidth="1"/>
    <col min="6" max="6" width="23.54296875" style="11" customWidth="1"/>
    <col min="7" max="7" width="9.1796875" style="1"/>
    <col min="8" max="8" width="16.54296875" style="1" customWidth="1"/>
    <col min="9" max="9" width="14.7265625" style="1" customWidth="1"/>
    <col min="10" max="10" width="13.7265625" style="1" customWidth="1"/>
    <col min="11" max="16384" width="9.1796875" style="1"/>
  </cols>
  <sheetData>
    <row r="1" spans="1:17" x14ac:dyDescent="0.45">
      <c r="A1" s="12" t="s">
        <v>34</v>
      </c>
      <c r="B1" s="13" t="s">
        <v>35</v>
      </c>
      <c r="C1" s="13"/>
      <c r="D1" s="14"/>
      <c r="E1" s="14"/>
    </row>
    <row r="2" spans="1:17" x14ac:dyDescent="0.45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spans="1:17" ht="17.5" x14ac:dyDescent="0.55000000000000004">
      <c r="A3" s="15">
        <v>1000000</v>
      </c>
      <c r="B3" s="16">
        <f>DATE(2021,12,31)</f>
        <v>44561</v>
      </c>
      <c r="C3" s="1" t="s">
        <v>27</v>
      </c>
      <c r="G3" s="17"/>
      <c r="H3" s="17">
        <f t="shared" ref="H3:H20" si="0">IF(AND(DATE($O$3,$P$3,$Q$3)&lt;=$B3, $B3&lt;=DATE($O$4,$P$4,$Q$4)), IF(AND(H4=0, $A3 &gt; 0), 0, 1), IF(AND(H4&lt;&gt;0, $A3 &gt; 0), 1, 0))</f>
        <v>0</v>
      </c>
      <c r="I3" s="17">
        <f t="shared" ref="I3:I20" si="1">IF(OR($H4&lt;&gt;0,$H3=0), 0, 1)</f>
        <v>0</v>
      </c>
      <c r="J3" s="17">
        <f t="shared" ref="J3:J20" ca="1" si="2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>
        <f>HUB!G40</f>
        <v>2031</v>
      </c>
      <c r="P3" s="1">
        <f>HUB!H40</f>
        <v>1</v>
      </c>
      <c r="Q3" s="1">
        <f>HUB!I40</f>
        <v>1</v>
      </c>
    </row>
    <row r="4" spans="1:17" ht="17.5" x14ac:dyDescent="0.55000000000000004">
      <c r="A4" s="15">
        <v>-960736.72193756001</v>
      </c>
      <c r="B4" s="16">
        <f>DATE(2022,3,31)</f>
        <v>44651</v>
      </c>
      <c r="G4" s="17"/>
      <c r="H4" s="17">
        <f t="shared" si="0"/>
        <v>0</v>
      </c>
      <c r="I4" s="17">
        <f t="shared" si="1"/>
        <v>0</v>
      </c>
      <c r="J4" s="17">
        <f t="shared" ca="1" si="2"/>
        <v>0</v>
      </c>
      <c r="N4" s="1" t="s">
        <v>29</v>
      </c>
      <c r="O4" s="1">
        <f>HUB!G41</f>
        <v>2031</v>
      </c>
      <c r="P4" s="1">
        <f>HUB!H41</f>
        <v>12</v>
      </c>
      <c r="Q4" s="1">
        <f>HUB!I41</f>
        <v>31</v>
      </c>
    </row>
    <row r="5" spans="1:17" ht="17.5" x14ac:dyDescent="0.55000000000000004">
      <c r="A5" s="15">
        <v>960736.72193756001</v>
      </c>
      <c r="B5" s="16">
        <f>DATE(2022,3,31)</f>
        <v>44651</v>
      </c>
      <c r="E5" s="2" t="s">
        <v>30</v>
      </c>
      <c r="F5" s="18"/>
      <c r="G5" s="17"/>
      <c r="H5" s="17">
        <f t="shared" si="0"/>
        <v>0</v>
      </c>
      <c r="I5" s="17">
        <f t="shared" si="1"/>
        <v>0</v>
      </c>
      <c r="J5" s="17">
        <f t="shared" ca="1" si="2"/>
        <v>0</v>
      </c>
      <c r="N5" s="1" t="s">
        <v>31</v>
      </c>
      <c r="O5" s="19">
        <f ca="1">SUM(J:J)</f>
        <v>0</v>
      </c>
    </row>
    <row r="6" spans="1:17" ht="17.5" x14ac:dyDescent="0.55000000000000004">
      <c r="A6" s="15">
        <v>-807421.87959756004</v>
      </c>
      <c r="B6" s="16">
        <f>DATE(2022,6,30)</f>
        <v>44742</v>
      </c>
      <c r="E6" s="20" t="s">
        <v>5</v>
      </c>
      <c r="F6" s="21">
        <v>3.3585965608621302E-2</v>
      </c>
      <c r="G6" s="21"/>
      <c r="H6" s="17">
        <f t="shared" si="0"/>
        <v>0</v>
      </c>
      <c r="I6" s="17">
        <f t="shared" si="1"/>
        <v>0</v>
      </c>
      <c r="J6" s="17">
        <f t="shared" ca="1" si="2"/>
        <v>0</v>
      </c>
    </row>
    <row r="7" spans="1:17" ht="17.5" x14ac:dyDescent="0.55000000000000004">
      <c r="A7" s="15">
        <v>807421.87959756004</v>
      </c>
      <c r="B7" s="16">
        <f>DATE(2022,6,30)</f>
        <v>44742</v>
      </c>
      <c r="E7" s="20" t="s">
        <v>6</v>
      </c>
      <c r="F7" s="21">
        <v>3.3585965608621302E-2</v>
      </c>
      <c r="G7" s="21"/>
      <c r="H7" s="17">
        <f t="shared" si="0"/>
        <v>0</v>
      </c>
      <c r="I7" s="17">
        <f t="shared" si="1"/>
        <v>0</v>
      </c>
      <c r="J7" s="17">
        <f t="shared" ca="1" si="2"/>
        <v>0</v>
      </c>
      <c r="O7" s="2"/>
      <c r="P7" s="2"/>
      <c r="Q7" s="2"/>
    </row>
    <row r="8" spans="1:17" ht="17.5" x14ac:dyDescent="0.55000000000000004">
      <c r="A8" s="15">
        <v>-823069.60172465001</v>
      </c>
      <c r="B8" s="16">
        <f>DATE(2022,9,30)</f>
        <v>44834</v>
      </c>
      <c r="E8" s="20" t="s">
        <v>7</v>
      </c>
      <c r="F8" s="21">
        <v>0.15178921818733199</v>
      </c>
      <c r="G8" s="21"/>
      <c r="H8" s="17">
        <f t="shared" si="0"/>
        <v>0</v>
      </c>
      <c r="I8" s="17">
        <f t="shared" si="1"/>
        <v>0</v>
      </c>
      <c r="J8" s="17">
        <f t="shared" ca="1" si="2"/>
        <v>0</v>
      </c>
      <c r="M8" s="2"/>
    </row>
    <row r="9" spans="1:17" ht="17.5" x14ac:dyDescent="0.55000000000000004">
      <c r="A9" s="15">
        <v>823069.60172465001</v>
      </c>
      <c r="B9" s="16">
        <f>DATE(2022,9,30)</f>
        <v>44834</v>
      </c>
      <c r="E9" s="20" t="s">
        <v>8</v>
      </c>
      <c r="F9" s="21">
        <v>4.3283531069755597E-2</v>
      </c>
      <c r="G9" s="21"/>
      <c r="H9" s="17">
        <f t="shared" si="0"/>
        <v>0</v>
      </c>
      <c r="I9" s="17">
        <f t="shared" si="1"/>
        <v>0</v>
      </c>
      <c r="J9" s="17">
        <f t="shared" ca="1" si="2"/>
        <v>0</v>
      </c>
    </row>
    <row r="10" spans="1:17" ht="17.5" x14ac:dyDescent="0.55000000000000004">
      <c r="A10" s="15">
        <v>-910170.06693600002</v>
      </c>
      <c r="B10" s="16">
        <f>DATE(2022,12,31)</f>
        <v>44926</v>
      </c>
      <c r="E10" s="20" t="s">
        <v>9</v>
      </c>
      <c r="F10" s="21">
        <v>4.3283531069755597E-2</v>
      </c>
      <c r="G10" s="21"/>
      <c r="H10" s="17">
        <f t="shared" si="0"/>
        <v>0</v>
      </c>
      <c r="I10" s="17">
        <f t="shared" si="1"/>
        <v>0</v>
      </c>
      <c r="J10" s="17">
        <f t="shared" ca="1" si="2"/>
        <v>0</v>
      </c>
    </row>
    <row r="11" spans="1:17" ht="17.5" x14ac:dyDescent="0.55000000000000004">
      <c r="A11" s="15">
        <v>910170.06693600002</v>
      </c>
      <c r="B11" s="16">
        <f>DATE(2022,12,31)</f>
        <v>44926</v>
      </c>
      <c r="E11" s="20" t="s">
        <v>10</v>
      </c>
      <c r="F11" s="21">
        <v>4.3283531069755597E-2</v>
      </c>
      <c r="G11" s="21"/>
      <c r="H11" s="17">
        <f t="shared" si="0"/>
        <v>0</v>
      </c>
      <c r="I11" s="17">
        <f t="shared" si="1"/>
        <v>0</v>
      </c>
      <c r="J11" s="17">
        <f t="shared" ca="1" si="2"/>
        <v>0</v>
      </c>
    </row>
    <row r="12" spans="1:17" ht="17.5" x14ac:dyDescent="0.55000000000000004">
      <c r="A12" s="15">
        <v>-954666.17075449997</v>
      </c>
      <c r="B12" s="16">
        <f>DATE(2023,3,31)</f>
        <v>45016</v>
      </c>
      <c r="E12" s="20" t="s">
        <v>11</v>
      </c>
      <c r="F12" s="21">
        <v>4.3283531069755597E-2</v>
      </c>
      <c r="G12" s="21"/>
      <c r="H12" s="17">
        <f t="shared" si="0"/>
        <v>0</v>
      </c>
      <c r="I12" s="17">
        <f t="shared" si="1"/>
        <v>0</v>
      </c>
      <c r="J12" s="17">
        <f t="shared" ca="1" si="2"/>
        <v>0</v>
      </c>
    </row>
    <row r="13" spans="1:17" ht="17.5" x14ac:dyDescent="0.55000000000000004">
      <c r="A13" s="15">
        <v>954666.17075449997</v>
      </c>
      <c r="B13" s="16">
        <f>DATE(2023,3,31)</f>
        <v>45016</v>
      </c>
      <c r="E13" s="20">
        <v>2019</v>
      </c>
      <c r="F13" s="21">
        <v>0</v>
      </c>
      <c r="G13" s="21"/>
      <c r="H13" s="17">
        <f t="shared" si="0"/>
        <v>0</v>
      </c>
      <c r="I13" s="17">
        <f t="shared" si="1"/>
        <v>0</v>
      </c>
      <c r="J13" s="17">
        <f t="shared" ca="1" si="2"/>
        <v>0</v>
      </c>
    </row>
    <row r="14" spans="1:17" ht="17.5" x14ac:dyDescent="0.55000000000000004">
      <c r="A14" s="15">
        <v>-973102.30193449999</v>
      </c>
      <c r="B14" s="16">
        <f>DATE(2023,6,30)</f>
        <v>45107</v>
      </c>
      <c r="E14" s="20">
        <v>2020</v>
      </c>
      <c r="F14" s="21">
        <v>0</v>
      </c>
      <c r="G14" s="21"/>
      <c r="H14" s="17">
        <f t="shared" si="0"/>
        <v>0</v>
      </c>
      <c r="I14" s="17">
        <f t="shared" si="1"/>
        <v>0</v>
      </c>
      <c r="J14" s="17">
        <f t="shared" ca="1" si="2"/>
        <v>0</v>
      </c>
    </row>
    <row r="15" spans="1:17" ht="17.5" x14ac:dyDescent="0.55000000000000004">
      <c r="A15" s="15">
        <v>973102.30193449999</v>
      </c>
      <c r="B15" s="16">
        <f>DATE(2023,6,30)</f>
        <v>45107</v>
      </c>
      <c r="E15" s="20">
        <v>2021</v>
      </c>
      <c r="F15" s="21">
        <v>0</v>
      </c>
      <c r="G15" s="21"/>
      <c r="H15" s="17">
        <f t="shared" si="0"/>
        <v>0</v>
      </c>
      <c r="I15" s="17">
        <f t="shared" si="1"/>
        <v>0</v>
      </c>
      <c r="J15" s="17">
        <f t="shared" ca="1" si="2"/>
        <v>0</v>
      </c>
    </row>
    <row r="16" spans="1:17" ht="17.5" x14ac:dyDescent="0.55000000000000004">
      <c r="A16" s="15">
        <v>-971912.37326757004</v>
      </c>
      <c r="B16" s="16">
        <f>DATE(2023,9,30)</f>
        <v>45199</v>
      </c>
      <c r="E16" s="20">
        <v>2022</v>
      </c>
      <c r="F16" s="21">
        <v>-8.9829930663108806E-2</v>
      </c>
      <c r="G16" s="21"/>
      <c r="H16" s="17">
        <f t="shared" si="0"/>
        <v>0</v>
      </c>
      <c r="I16" s="17">
        <f t="shared" si="1"/>
        <v>0</v>
      </c>
      <c r="J16" s="17">
        <f t="shared" ca="1" si="2"/>
        <v>0</v>
      </c>
    </row>
    <row r="17" spans="1:10" ht="17.5" x14ac:dyDescent="0.55000000000000004">
      <c r="A17" s="15">
        <v>971912.37326757004</v>
      </c>
      <c r="B17" s="16">
        <f>DATE(2023,9,30)</f>
        <v>45199</v>
      </c>
      <c r="E17" s="20">
        <v>2023</v>
      </c>
      <c r="F17" s="21">
        <v>0.169293493032455</v>
      </c>
      <c r="G17" s="21"/>
      <c r="H17" s="17">
        <f t="shared" si="0"/>
        <v>0</v>
      </c>
      <c r="I17" s="17">
        <f t="shared" si="1"/>
        <v>0</v>
      </c>
      <c r="J17" s="17">
        <f t="shared" ca="1" si="2"/>
        <v>0</v>
      </c>
    </row>
    <row r="18" spans="1:10" ht="17.5" x14ac:dyDescent="0.55000000000000004">
      <c r="A18" s="15">
        <v>-1064255.9362079999</v>
      </c>
      <c r="B18" s="16">
        <f>DATE(2023,12,31)</f>
        <v>45291</v>
      </c>
      <c r="E18" s="20">
        <v>2024</v>
      </c>
      <c r="F18" s="21">
        <v>3.3585965608621302E-2</v>
      </c>
      <c r="G18" s="21"/>
      <c r="H18" s="17">
        <f t="shared" si="0"/>
        <v>0</v>
      </c>
      <c r="I18" s="17">
        <f t="shared" si="1"/>
        <v>0</v>
      </c>
      <c r="J18" s="17">
        <f t="shared" ca="1" si="2"/>
        <v>0</v>
      </c>
    </row>
    <row r="19" spans="1:10" ht="17.5" x14ac:dyDescent="0.55000000000000004">
      <c r="A19" s="15">
        <v>1064255.9362079999</v>
      </c>
      <c r="B19" s="16">
        <f>DATE(2023,12,31)</f>
        <v>45291</v>
      </c>
      <c r="E19" s="20">
        <v>2025</v>
      </c>
      <c r="F19" s="23">
        <v>0</v>
      </c>
      <c r="G19" s="17"/>
      <c r="H19" s="17">
        <f t="shared" si="0"/>
        <v>0</v>
      </c>
      <c r="I19" s="17">
        <f t="shared" si="1"/>
        <v>0</v>
      </c>
      <c r="J19" s="17">
        <f t="shared" ca="1" si="2"/>
        <v>0</v>
      </c>
    </row>
    <row r="20" spans="1:10" ht="17.5" x14ac:dyDescent="0.55000000000000004">
      <c r="A20" s="15">
        <v>-1100000</v>
      </c>
      <c r="B20" s="16">
        <f>DATE(2024,3,31)</f>
        <v>45382</v>
      </c>
      <c r="E20" s="20">
        <v>2026</v>
      </c>
      <c r="F20" s="23">
        <v>0</v>
      </c>
      <c r="G20" s="17"/>
      <c r="H20" s="17">
        <f t="shared" si="0"/>
        <v>0</v>
      </c>
      <c r="I20" s="17">
        <f t="shared" si="1"/>
        <v>0</v>
      </c>
      <c r="J20" s="17">
        <f t="shared" ca="1" si="2"/>
        <v>0</v>
      </c>
    </row>
    <row r="21" spans="1:10" ht="17.5" x14ac:dyDescent="0.55000000000000004">
      <c r="A21" s="15"/>
      <c r="B21" s="16">
        <f>DATE(2024,3,31)</f>
        <v>45382</v>
      </c>
      <c r="E21" s="20">
        <v>2027</v>
      </c>
      <c r="F21" s="23">
        <v>0</v>
      </c>
      <c r="G21" s="17"/>
      <c r="H21" s="17"/>
      <c r="I21" s="17"/>
      <c r="J21" s="17"/>
    </row>
    <row r="22" spans="1:10" ht="17.5" x14ac:dyDescent="0.55000000000000004">
      <c r="A22" s="15"/>
      <c r="B22" s="16"/>
      <c r="E22" s="20">
        <v>2028</v>
      </c>
      <c r="F22" s="23">
        <v>0</v>
      </c>
      <c r="G22" s="17"/>
      <c r="H22" s="17"/>
      <c r="I22" s="17"/>
      <c r="J22" s="17"/>
    </row>
    <row r="23" spans="1:10" ht="17.5" x14ac:dyDescent="0.55000000000000004">
      <c r="A23" s="15"/>
      <c r="B23" s="16"/>
      <c r="E23" s="20">
        <v>2029</v>
      </c>
      <c r="F23" s="23">
        <v>0</v>
      </c>
      <c r="G23" s="17"/>
      <c r="H23" s="17"/>
      <c r="I23" s="17"/>
      <c r="J23" s="17"/>
    </row>
    <row r="24" spans="1:10" ht="17.5" x14ac:dyDescent="0.55000000000000004">
      <c r="A24" s="15"/>
      <c r="B24" s="16"/>
      <c r="E24" s="20">
        <v>2030</v>
      </c>
      <c r="F24" s="23">
        <v>0</v>
      </c>
      <c r="G24" s="17"/>
      <c r="H24" s="17"/>
      <c r="I24" s="17"/>
      <c r="J24" s="17"/>
    </row>
    <row r="25" spans="1:10" ht="17.5" x14ac:dyDescent="0.55000000000000004">
      <c r="A25" s="15"/>
      <c r="B25" s="16"/>
      <c r="E25" s="20">
        <v>2031</v>
      </c>
      <c r="F25" s="23">
        <v>0</v>
      </c>
      <c r="G25" s="17"/>
      <c r="H25" s="17"/>
      <c r="I25" s="17"/>
      <c r="J25" s="17"/>
    </row>
    <row r="26" spans="1:10" ht="17.5" x14ac:dyDescent="0.55000000000000004">
      <c r="A26" s="15"/>
      <c r="B26" s="16"/>
      <c r="G26" s="17"/>
      <c r="H26" s="17"/>
      <c r="I26" s="17"/>
      <c r="J26" s="17"/>
    </row>
    <row r="27" spans="1:10" ht="17.5" x14ac:dyDescent="0.55000000000000004">
      <c r="A27" s="15"/>
      <c r="B27" s="16"/>
      <c r="C27" s="26"/>
      <c r="G27" s="17"/>
      <c r="H27" s="17"/>
      <c r="I27" s="17"/>
      <c r="J27" s="17"/>
    </row>
    <row r="28" spans="1:10" ht="17.5" x14ac:dyDescent="0.55000000000000004">
      <c r="A28" s="15"/>
      <c r="B28" s="16"/>
      <c r="G28" s="17"/>
      <c r="H28" s="17"/>
      <c r="I28" s="17"/>
      <c r="J28" s="17"/>
    </row>
    <row r="29" spans="1:10" ht="17.5" x14ac:dyDescent="0.55000000000000004">
      <c r="A29" s="15"/>
      <c r="B29" s="16"/>
      <c r="D29" s="17"/>
      <c r="E29" s="17"/>
      <c r="F29" s="25"/>
      <c r="G29" s="17"/>
      <c r="H29" s="17"/>
      <c r="I29" s="17"/>
      <c r="J29" s="17"/>
    </row>
    <row r="30" spans="1:10" ht="17.5" x14ac:dyDescent="0.55000000000000004">
      <c r="A30" s="15"/>
      <c r="B30" s="16"/>
      <c r="D30" s="17"/>
      <c r="E30" s="17"/>
      <c r="F30" s="25"/>
      <c r="G30" s="17"/>
      <c r="H30" s="17"/>
      <c r="I30" s="17"/>
      <c r="J30" s="17"/>
    </row>
    <row r="31" spans="1:10" ht="17.5" x14ac:dyDescent="0.55000000000000004">
      <c r="A31" s="15"/>
      <c r="B31" s="16"/>
      <c r="H31" s="17"/>
      <c r="I31" s="17"/>
      <c r="J31" s="17"/>
    </row>
    <row r="32" spans="1:10" ht="17.5" x14ac:dyDescent="0.55000000000000004">
      <c r="A32" s="15"/>
      <c r="B32" s="16"/>
      <c r="H32" s="17"/>
      <c r="I32" s="17"/>
      <c r="J32" s="17"/>
    </row>
    <row r="33" spans="1:10" ht="17.5" x14ac:dyDescent="0.55000000000000004">
      <c r="A33" s="15"/>
      <c r="B33" s="16"/>
      <c r="H33" s="17"/>
      <c r="I33" s="17"/>
      <c r="J33" s="17"/>
    </row>
    <row r="34" spans="1:10" ht="17.5" x14ac:dyDescent="0.55000000000000004">
      <c r="A34" s="15"/>
      <c r="B34" s="16"/>
      <c r="H34" s="17"/>
      <c r="I34" s="17"/>
      <c r="J34" s="17"/>
    </row>
    <row r="35" spans="1:10" ht="17.5" x14ac:dyDescent="0.55000000000000004">
      <c r="A35" s="15"/>
      <c r="B35" s="16"/>
      <c r="H35" s="17"/>
      <c r="I35" s="17"/>
      <c r="J35" s="17"/>
    </row>
    <row r="36" spans="1:10" ht="17.5" x14ac:dyDescent="0.55000000000000004">
      <c r="A36" s="15"/>
      <c r="B36" s="16"/>
      <c r="H36" s="17"/>
      <c r="I36" s="17"/>
      <c r="J36" s="17"/>
    </row>
    <row r="37" spans="1:10" ht="17.5" x14ac:dyDescent="0.55000000000000004">
      <c r="A37" s="15"/>
      <c r="B37" s="16"/>
      <c r="H37" s="17"/>
      <c r="I37" s="17"/>
      <c r="J37" s="17"/>
    </row>
    <row r="38" spans="1:10" ht="17.5" x14ac:dyDescent="0.55000000000000004">
      <c r="A38" s="15"/>
      <c r="B38" s="16"/>
      <c r="H38" s="17"/>
      <c r="I38" s="17"/>
      <c r="J38" s="17"/>
    </row>
    <row r="39" spans="1:10" ht="17.5" x14ac:dyDescent="0.55000000000000004">
      <c r="A39" s="15"/>
      <c r="B39" s="16"/>
      <c r="H39" s="17"/>
      <c r="I39" s="17"/>
      <c r="J39" s="17"/>
    </row>
    <row r="40" spans="1:10" ht="17.5" x14ac:dyDescent="0.55000000000000004">
      <c r="A40" s="15"/>
      <c r="B40" s="16"/>
      <c r="H40" s="17"/>
      <c r="I40" s="17"/>
      <c r="J40" s="17"/>
    </row>
    <row r="41" spans="1:10" ht="17.5" x14ac:dyDescent="0.55000000000000004">
      <c r="A41" s="15"/>
      <c r="B41" s="16"/>
      <c r="H41" s="17"/>
      <c r="I41" s="17"/>
      <c r="J41" s="17"/>
    </row>
    <row r="42" spans="1:10" ht="17.5" x14ac:dyDescent="0.55000000000000004">
      <c r="A42" s="15"/>
      <c r="B42" s="16"/>
      <c r="H42" s="17"/>
      <c r="I42" s="17"/>
      <c r="J42" s="17"/>
    </row>
    <row r="43" spans="1:10" ht="17.5" x14ac:dyDescent="0.55000000000000004">
      <c r="A43" s="15"/>
      <c r="B43" s="16"/>
      <c r="H43" s="17"/>
      <c r="I43" s="17"/>
      <c r="J43" s="17"/>
    </row>
    <row r="44" spans="1:10" ht="17.5" x14ac:dyDescent="0.55000000000000004">
      <c r="A44" s="15"/>
      <c r="B44" s="16"/>
      <c r="H44" s="17"/>
      <c r="I44" s="17"/>
      <c r="J44" s="17"/>
    </row>
    <row r="45" spans="1:10" ht="17.5" x14ac:dyDescent="0.55000000000000004">
      <c r="A45" s="15"/>
      <c r="B45" s="16"/>
      <c r="H45" s="17"/>
      <c r="I45" s="17"/>
      <c r="J45" s="17"/>
    </row>
    <row r="46" spans="1:10" ht="17.5" x14ac:dyDescent="0.55000000000000004">
      <c r="A46" s="15"/>
      <c r="B46" s="16"/>
      <c r="H46" s="17"/>
      <c r="I46" s="17"/>
      <c r="J46" s="17"/>
    </row>
    <row r="47" spans="1:10" ht="17.5" x14ac:dyDescent="0.55000000000000004">
      <c r="A47" s="15"/>
      <c r="B47" s="16"/>
      <c r="H47" s="17"/>
      <c r="I47" s="17"/>
      <c r="J47" s="17"/>
    </row>
    <row r="48" spans="1:10" ht="17.5" x14ac:dyDescent="0.55000000000000004">
      <c r="A48" s="15"/>
      <c r="B48" s="16"/>
      <c r="H48" s="17"/>
      <c r="I48" s="17"/>
      <c r="J48" s="17"/>
    </row>
    <row r="49" spans="1:10" ht="17.5" x14ac:dyDescent="0.55000000000000004">
      <c r="A49" s="15"/>
      <c r="B49" s="16"/>
      <c r="H49" s="17"/>
      <c r="I49" s="17"/>
      <c r="J49" s="17"/>
    </row>
    <row r="50" spans="1:10" ht="17.5" x14ac:dyDescent="0.55000000000000004">
      <c r="A50" s="15"/>
      <c r="B50" s="16"/>
      <c r="H50" s="17"/>
      <c r="I50" s="17"/>
      <c r="J50" s="17"/>
    </row>
    <row r="51" spans="1:10" ht="17.5" x14ac:dyDescent="0.55000000000000004">
      <c r="A51" s="15"/>
      <c r="B51" s="16"/>
      <c r="H51" s="17"/>
      <c r="I51" s="17"/>
      <c r="J51" s="17"/>
    </row>
    <row r="52" spans="1:10" ht="17.5" x14ac:dyDescent="0.55000000000000004">
      <c r="A52" s="15"/>
      <c r="B52" s="16"/>
      <c r="H52" s="17"/>
      <c r="I52" s="17"/>
      <c r="J52" s="17"/>
    </row>
    <row r="53" spans="1:10" ht="17.5" x14ac:dyDescent="0.55000000000000004">
      <c r="A53" s="15"/>
      <c r="B53" s="16"/>
      <c r="H53" s="17"/>
      <c r="I53" s="17"/>
      <c r="J53" s="17"/>
    </row>
    <row r="54" spans="1:10" ht="17.5" x14ac:dyDescent="0.55000000000000004">
      <c r="A54" s="15"/>
      <c r="B54" s="16"/>
      <c r="H54" s="17"/>
      <c r="I54" s="17"/>
      <c r="J54" s="17"/>
    </row>
    <row r="55" spans="1:10" ht="17.5" x14ac:dyDescent="0.55000000000000004">
      <c r="A55" s="15"/>
      <c r="B55" s="16"/>
      <c r="H55" s="17"/>
      <c r="I55" s="17"/>
      <c r="J55" s="17"/>
    </row>
    <row r="56" spans="1:10" ht="17.5" x14ac:dyDescent="0.55000000000000004">
      <c r="A56" s="15"/>
      <c r="B56" s="16"/>
      <c r="H56" s="17"/>
      <c r="I56" s="17"/>
      <c r="J56" s="17"/>
    </row>
    <row r="57" spans="1:10" ht="17.5" x14ac:dyDescent="0.55000000000000004">
      <c r="A57" s="15"/>
      <c r="B57" s="16"/>
      <c r="H57" s="17"/>
      <c r="I57" s="17"/>
      <c r="J57" s="17"/>
    </row>
    <row r="58" spans="1:10" ht="17.5" x14ac:dyDescent="0.55000000000000004">
      <c r="A58" s="15"/>
      <c r="B58" s="16"/>
      <c r="H58" s="17"/>
      <c r="I58" s="17"/>
      <c r="J58" s="17"/>
    </row>
    <row r="59" spans="1:10" ht="17.5" x14ac:dyDescent="0.55000000000000004">
      <c r="A59" s="15"/>
      <c r="B59" s="16"/>
      <c r="H59" s="17"/>
      <c r="I59" s="17"/>
      <c r="J59" s="17"/>
    </row>
    <row r="60" spans="1:10" ht="17.5" x14ac:dyDescent="0.55000000000000004">
      <c r="A60" s="15"/>
      <c r="B60" s="16"/>
      <c r="H60" s="17"/>
      <c r="I60" s="17"/>
      <c r="J60" s="17"/>
    </row>
    <row r="61" spans="1:10" ht="17.5" x14ac:dyDescent="0.55000000000000004">
      <c r="A61" s="15"/>
      <c r="B61" s="16"/>
      <c r="H61" s="17"/>
      <c r="I61" s="17"/>
      <c r="J61" s="17"/>
    </row>
    <row r="62" spans="1:10" ht="17.5" x14ac:dyDescent="0.55000000000000004">
      <c r="A62" s="15"/>
      <c r="B62" s="16"/>
      <c r="H62" s="17"/>
      <c r="I62" s="17"/>
      <c r="J62" s="17"/>
    </row>
    <row r="63" spans="1:10" ht="17.5" x14ac:dyDescent="0.55000000000000004">
      <c r="A63" s="15"/>
      <c r="B63" s="16"/>
      <c r="H63" s="17"/>
      <c r="I63" s="17"/>
      <c r="J63" s="17"/>
    </row>
    <row r="64" spans="1:10" ht="17.5" x14ac:dyDescent="0.55000000000000004">
      <c r="A64" s="15"/>
      <c r="B64" s="16"/>
      <c r="H64" s="17"/>
      <c r="I64" s="17"/>
      <c r="J64" s="17"/>
    </row>
    <row r="65" spans="1:10" ht="17.5" x14ac:dyDescent="0.55000000000000004">
      <c r="A65" s="15"/>
      <c r="B65" s="16"/>
      <c r="H65" s="17"/>
      <c r="I65" s="17"/>
      <c r="J65" s="17"/>
    </row>
    <row r="66" spans="1:10" ht="17.5" x14ac:dyDescent="0.55000000000000004">
      <c r="A66" s="15"/>
      <c r="B66" s="16"/>
      <c r="H66" s="17"/>
      <c r="I66" s="17"/>
      <c r="J66" s="17"/>
    </row>
    <row r="67" spans="1:10" ht="17.5" x14ac:dyDescent="0.55000000000000004">
      <c r="A67" s="15"/>
      <c r="B67" s="16"/>
      <c r="H67" s="17"/>
      <c r="I67" s="17"/>
      <c r="J67" s="17"/>
    </row>
    <row r="68" spans="1:10" ht="17.5" x14ac:dyDescent="0.55000000000000004">
      <c r="A68" s="15"/>
      <c r="B68" s="16"/>
      <c r="H68" s="17"/>
      <c r="I68" s="17"/>
      <c r="J68" s="17"/>
    </row>
    <row r="69" spans="1:10" ht="17.5" x14ac:dyDescent="0.55000000000000004">
      <c r="A69" s="15"/>
      <c r="B69" s="16"/>
      <c r="H69" s="17"/>
      <c r="I69" s="17"/>
      <c r="J69" s="17"/>
    </row>
    <row r="70" spans="1:10" ht="17.5" x14ac:dyDescent="0.55000000000000004">
      <c r="A70" s="15"/>
      <c r="B70" s="16"/>
      <c r="H70" s="17"/>
      <c r="I70" s="17"/>
      <c r="J70" s="17"/>
    </row>
    <row r="71" spans="1:10" ht="17.5" x14ac:dyDescent="0.55000000000000004">
      <c r="A71" s="15"/>
      <c r="B71" s="16"/>
      <c r="H71" s="17"/>
      <c r="I71" s="17"/>
      <c r="J71" s="17"/>
    </row>
    <row r="72" spans="1:10" ht="17.5" x14ac:dyDescent="0.55000000000000004">
      <c r="A72" s="15"/>
      <c r="B72" s="16"/>
      <c r="H72" s="17"/>
      <c r="I72" s="17"/>
      <c r="J72" s="17"/>
    </row>
    <row r="73" spans="1:10" ht="17.5" x14ac:dyDescent="0.55000000000000004">
      <c r="A73" s="15"/>
      <c r="B73" s="16"/>
      <c r="H73" s="17"/>
      <c r="I73" s="17"/>
      <c r="J73" s="17"/>
    </row>
    <row r="74" spans="1:10" ht="17.5" x14ac:dyDescent="0.55000000000000004">
      <c r="A74" s="15"/>
      <c r="B74" s="16"/>
      <c r="H74" s="17"/>
      <c r="I74" s="17"/>
      <c r="J74" s="17"/>
    </row>
    <row r="75" spans="1:10" ht="17.5" x14ac:dyDescent="0.55000000000000004">
      <c r="A75" s="15"/>
      <c r="B75" s="16"/>
      <c r="H75" s="17"/>
      <c r="I75" s="17"/>
      <c r="J75" s="17"/>
    </row>
    <row r="76" spans="1:10" ht="17.5" x14ac:dyDescent="0.55000000000000004">
      <c r="A76" s="15"/>
      <c r="B76" s="16"/>
      <c r="H76" s="17"/>
      <c r="I76" s="17"/>
      <c r="J76" s="17"/>
    </row>
    <row r="77" spans="1:10" ht="17.5" x14ac:dyDescent="0.55000000000000004">
      <c r="A77" s="15"/>
      <c r="B77" s="16"/>
      <c r="H77" s="17"/>
      <c r="I77" s="17"/>
      <c r="J77" s="17"/>
    </row>
    <row r="78" spans="1:10" ht="17.5" x14ac:dyDescent="0.55000000000000004">
      <c r="A78" s="15"/>
      <c r="B78" s="16"/>
      <c r="H78" s="17"/>
      <c r="I78" s="17"/>
      <c r="J78" s="17"/>
    </row>
    <row r="79" spans="1:10" ht="17.5" x14ac:dyDescent="0.55000000000000004">
      <c r="A79" s="15"/>
      <c r="B79" s="16"/>
      <c r="H79" s="17"/>
      <c r="I79" s="17"/>
      <c r="J79" s="17"/>
    </row>
    <row r="80" spans="1:10" ht="17.5" x14ac:dyDescent="0.55000000000000004">
      <c r="A80" s="15"/>
      <c r="B80" s="16"/>
      <c r="H80" s="17"/>
      <c r="I80" s="17"/>
      <c r="J80" s="17"/>
    </row>
    <row r="81" spans="1:10" ht="17.5" x14ac:dyDescent="0.55000000000000004">
      <c r="A81" s="15"/>
      <c r="B81" s="16"/>
      <c r="H81" s="17"/>
      <c r="I81" s="17"/>
      <c r="J81" s="17"/>
    </row>
    <row r="82" spans="1:10" ht="17.5" x14ac:dyDescent="0.55000000000000004">
      <c r="A82" s="15"/>
      <c r="B82" s="16"/>
      <c r="H82" s="17"/>
      <c r="I82" s="17"/>
      <c r="J82" s="17"/>
    </row>
    <row r="83" spans="1:10" ht="17.5" x14ac:dyDescent="0.55000000000000004">
      <c r="A83" s="15"/>
      <c r="B83" s="16"/>
      <c r="H83" s="17"/>
      <c r="I83" s="17"/>
      <c r="J83" s="17"/>
    </row>
    <row r="84" spans="1:10" ht="17.5" x14ac:dyDescent="0.55000000000000004">
      <c r="A84" s="15"/>
      <c r="B84" s="16"/>
      <c r="H84" s="17"/>
      <c r="I84" s="17"/>
      <c r="J84" s="17"/>
    </row>
    <row r="85" spans="1:10" ht="17.5" x14ac:dyDescent="0.55000000000000004">
      <c r="A85" s="15"/>
      <c r="B85" s="16"/>
      <c r="H85" s="17"/>
      <c r="I85" s="17"/>
      <c r="J85" s="17"/>
    </row>
    <row r="86" spans="1:10" ht="17.5" x14ac:dyDescent="0.55000000000000004">
      <c r="A86" s="15"/>
      <c r="B86" s="16"/>
      <c r="H86" s="17"/>
      <c r="I86" s="17"/>
      <c r="J86" s="17"/>
    </row>
    <row r="87" spans="1:10" ht="17.5" x14ac:dyDescent="0.55000000000000004">
      <c r="A87" s="15"/>
      <c r="B87" s="16"/>
      <c r="H87" s="17"/>
      <c r="I87" s="17"/>
      <c r="J87" s="17"/>
    </row>
    <row r="88" spans="1:10" ht="17.5" x14ac:dyDescent="0.55000000000000004">
      <c r="A88" s="15"/>
      <c r="B88" s="16"/>
      <c r="H88" s="17"/>
      <c r="I88" s="17"/>
      <c r="J88" s="17"/>
    </row>
    <row r="89" spans="1:10" ht="17.5" x14ac:dyDescent="0.55000000000000004">
      <c r="A89" s="15"/>
      <c r="B89" s="16"/>
      <c r="H89" s="17"/>
      <c r="I89" s="17"/>
      <c r="J89" s="17"/>
    </row>
    <row r="90" spans="1:10" ht="17.5" x14ac:dyDescent="0.55000000000000004">
      <c r="A90" s="15"/>
      <c r="B90" s="16"/>
      <c r="H90" s="17"/>
      <c r="I90" s="17"/>
      <c r="J90" s="17"/>
    </row>
    <row r="91" spans="1:10" ht="17.5" x14ac:dyDescent="0.55000000000000004">
      <c r="A91" s="15"/>
      <c r="B91" s="16"/>
      <c r="H91" s="17"/>
      <c r="I91" s="17"/>
      <c r="J91" s="17"/>
    </row>
    <row r="92" spans="1:10" ht="17.5" x14ac:dyDescent="0.55000000000000004">
      <c r="A92" s="15"/>
      <c r="B92" s="16"/>
      <c r="H92" s="17"/>
      <c r="I92" s="17"/>
      <c r="J92" s="17"/>
    </row>
    <row r="93" spans="1:10" ht="17.5" x14ac:dyDescent="0.55000000000000004">
      <c r="A93" s="15"/>
      <c r="B93" s="16"/>
      <c r="H93" s="17"/>
      <c r="I93" s="17"/>
      <c r="J93" s="17"/>
    </row>
    <row r="94" spans="1:10" ht="17.5" x14ac:dyDescent="0.55000000000000004">
      <c r="A94" s="15"/>
      <c r="B94" s="16"/>
      <c r="H94" s="17"/>
      <c r="I94" s="17"/>
      <c r="J94" s="17"/>
    </row>
    <row r="95" spans="1:10" ht="17.5" x14ac:dyDescent="0.55000000000000004">
      <c r="A95" s="15"/>
      <c r="B95" s="16"/>
      <c r="H95" s="17"/>
      <c r="I95" s="17"/>
      <c r="J95" s="17"/>
    </row>
    <row r="96" spans="1:10" ht="17.5" x14ac:dyDescent="0.55000000000000004">
      <c r="A96" s="15"/>
      <c r="B96" s="16"/>
      <c r="H96" s="17"/>
      <c r="I96" s="17"/>
      <c r="J96" s="17"/>
    </row>
    <row r="97" spans="1:10" ht="17.5" x14ac:dyDescent="0.55000000000000004">
      <c r="A97" s="15"/>
      <c r="B97" s="16"/>
      <c r="H97" s="17"/>
      <c r="I97" s="17"/>
      <c r="J97" s="17"/>
    </row>
    <row r="98" spans="1:10" ht="17.5" x14ac:dyDescent="0.55000000000000004">
      <c r="A98" s="15"/>
      <c r="B98" s="16"/>
      <c r="H98" s="17"/>
      <c r="I98" s="17"/>
      <c r="J98" s="17"/>
    </row>
    <row r="99" spans="1:10" ht="17.5" x14ac:dyDescent="0.55000000000000004">
      <c r="A99" s="15"/>
      <c r="B99" s="16"/>
      <c r="H99" s="17"/>
      <c r="I99" s="17"/>
      <c r="J99" s="17"/>
    </row>
    <row r="100" spans="1:10" ht="17.5" x14ac:dyDescent="0.55000000000000004">
      <c r="A100" s="15"/>
      <c r="B100" s="16"/>
      <c r="H100" s="17"/>
      <c r="I100" s="17"/>
      <c r="J100" s="17"/>
    </row>
    <row r="101" spans="1:10" ht="17.5" x14ac:dyDescent="0.55000000000000004">
      <c r="A101" s="15"/>
      <c r="B101" s="16"/>
      <c r="H101" s="17"/>
      <c r="I101" s="17"/>
      <c r="J101" s="17"/>
    </row>
    <row r="102" spans="1:10" ht="17.5" x14ac:dyDescent="0.55000000000000004">
      <c r="A102" s="15"/>
      <c r="B102" s="16"/>
      <c r="H102" s="17"/>
      <c r="I102" s="17"/>
      <c r="J102" s="17"/>
    </row>
    <row r="103" spans="1:10" ht="17.5" x14ac:dyDescent="0.55000000000000004">
      <c r="A103" s="15"/>
      <c r="B103" s="16"/>
      <c r="H103" s="17"/>
      <c r="I103" s="17"/>
      <c r="J103" s="17"/>
    </row>
    <row r="104" spans="1:10" ht="17.5" x14ac:dyDescent="0.55000000000000004">
      <c r="A104" s="15"/>
      <c r="B104" s="16"/>
      <c r="H104" s="17"/>
      <c r="I104" s="17"/>
      <c r="J104" s="17"/>
    </row>
    <row r="105" spans="1:10" ht="17.5" x14ac:dyDescent="0.55000000000000004">
      <c r="A105" s="15"/>
      <c r="B105" s="16"/>
      <c r="H105" s="17"/>
      <c r="I105" s="17"/>
      <c r="J105" s="17"/>
    </row>
    <row r="106" spans="1:10" ht="17.5" x14ac:dyDescent="0.55000000000000004">
      <c r="A106" s="15"/>
      <c r="B106" s="16"/>
      <c r="H106" s="17"/>
      <c r="I106" s="17"/>
      <c r="J106" s="17"/>
    </row>
    <row r="107" spans="1:10" ht="17.5" x14ac:dyDescent="0.55000000000000004">
      <c r="A107" s="15"/>
      <c r="B107" s="16"/>
      <c r="H107" s="17"/>
      <c r="I107" s="17"/>
      <c r="J107" s="17"/>
    </row>
    <row r="108" spans="1:10" ht="17.5" x14ac:dyDescent="0.55000000000000004">
      <c r="A108" s="15"/>
      <c r="B108" s="16"/>
      <c r="H108" s="17"/>
      <c r="I108" s="17"/>
      <c r="J108" s="17"/>
    </row>
    <row r="109" spans="1:10" ht="17.5" x14ac:dyDescent="0.55000000000000004">
      <c r="A109" s="15"/>
      <c r="B109" s="16"/>
      <c r="H109" s="17"/>
      <c r="I109" s="17"/>
      <c r="J109" s="17"/>
    </row>
    <row r="110" spans="1:10" ht="17.5" x14ac:dyDescent="0.55000000000000004">
      <c r="A110" s="15"/>
      <c r="B110" s="16"/>
      <c r="H110" s="17"/>
      <c r="I110" s="17"/>
      <c r="J110" s="17"/>
    </row>
    <row r="111" spans="1:10" ht="17.5" x14ac:dyDescent="0.55000000000000004">
      <c r="A111" s="15"/>
      <c r="B111" s="16"/>
      <c r="H111" s="17"/>
      <c r="I111" s="17"/>
      <c r="J111" s="17"/>
    </row>
    <row r="112" spans="1:10" ht="17.5" x14ac:dyDescent="0.55000000000000004">
      <c r="A112" s="15"/>
      <c r="B112" s="16"/>
      <c r="H112" s="17"/>
      <c r="I112" s="17"/>
      <c r="J112" s="17"/>
    </row>
    <row r="113" spans="1:1" x14ac:dyDescent="0.45">
      <c r="A113" s="15"/>
    </row>
    <row r="114" spans="1:1" x14ac:dyDescent="0.45">
      <c r="A114" s="15"/>
    </row>
  </sheetData>
  <pageMargins left="0.7" right="0.7" top="0.75" bottom="0.75" header="0.511811023622047" footer="0.511811023622047"/>
  <pageSetup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4:I29"/>
  <sheetViews>
    <sheetView tabSelected="1" zoomScaleNormal="100" workbookViewId="0">
      <selection activeCell="G25" sqref="G25"/>
    </sheetView>
  </sheetViews>
  <sheetFormatPr defaultColWidth="11.54296875" defaultRowHeight="14.5" x14ac:dyDescent="0.35"/>
  <cols>
    <col min="2" max="2" width="14.26953125" bestFit="1" customWidth="1"/>
    <col min="5" max="5" width="14.26953125" bestFit="1" customWidth="1"/>
    <col min="8" max="8" width="14.26953125" bestFit="1" customWidth="1"/>
  </cols>
  <sheetData>
    <row r="4" spans="2:9" x14ac:dyDescent="0.35">
      <c r="B4" t="s">
        <v>36</v>
      </c>
      <c r="E4" t="s">
        <v>36</v>
      </c>
      <c r="H4" t="s">
        <v>36</v>
      </c>
    </row>
    <row r="5" spans="2:9" x14ac:dyDescent="0.35">
      <c r="B5" t="s">
        <v>37</v>
      </c>
      <c r="C5" t="s">
        <v>40</v>
      </c>
      <c r="E5" t="s">
        <v>37</v>
      </c>
      <c r="F5" t="s">
        <v>41</v>
      </c>
      <c r="H5" t="s">
        <v>37</v>
      </c>
      <c r="I5" t="s">
        <v>42</v>
      </c>
    </row>
    <row r="6" spans="2:9" ht="16.5" x14ac:dyDescent="0.45">
      <c r="B6" s="15" t="s">
        <v>38</v>
      </c>
      <c r="C6" s="16"/>
      <c r="E6" s="15" t="s">
        <v>38</v>
      </c>
      <c r="F6" s="16"/>
      <c r="H6" s="15" t="s">
        <v>38</v>
      </c>
      <c r="I6" s="16"/>
    </row>
    <row r="7" spans="2:9" ht="16.5" x14ac:dyDescent="0.45">
      <c r="B7" s="15">
        <v>1000000</v>
      </c>
      <c r="C7" s="16">
        <v>44561</v>
      </c>
      <c r="E7" s="15">
        <v>1000000</v>
      </c>
      <c r="F7" s="16">
        <f>DATE(2018,12,31)</f>
        <v>43465</v>
      </c>
      <c r="H7" s="15">
        <v>1000000</v>
      </c>
      <c r="I7" s="16">
        <v>43465</v>
      </c>
    </row>
    <row r="8" spans="2:9" ht="16.5" x14ac:dyDescent="0.45">
      <c r="B8" s="15">
        <v>960736.72193756001</v>
      </c>
      <c r="C8" s="16">
        <v>44651</v>
      </c>
      <c r="E8" s="15">
        <v>1128110.6596361999</v>
      </c>
      <c r="F8" s="16">
        <f>DATE(2019,3,31)</f>
        <v>43555</v>
      </c>
      <c r="H8" s="15">
        <v>1122848.04</v>
      </c>
      <c r="I8" s="16">
        <v>43555</v>
      </c>
    </row>
    <row r="9" spans="2:9" ht="16.5" x14ac:dyDescent="0.45">
      <c r="B9" s="15">
        <v>807421.87959756004</v>
      </c>
      <c r="C9" s="16">
        <v>44742</v>
      </c>
      <c r="E9" s="15">
        <v>1153231.67</v>
      </c>
      <c r="F9" s="16">
        <f>DATE(2019,6,30)</f>
        <v>43646</v>
      </c>
      <c r="H9" s="15">
        <v>1151971.83</v>
      </c>
      <c r="I9" s="16">
        <v>43646</v>
      </c>
    </row>
    <row r="10" spans="2:9" ht="16.5" x14ac:dyDescent="0.45">
      <c r="B10" s="15">
        <v>823069.60172465001</v>
      </c>
      <c r="C10" s="16">
        <v>44834</v>
      </c>
      <c r="E10" s="15">
        <v>1202260.6235917399</v>
      </c>
      <c r="F10" s="16">
        <f>DATE(2019,9,30)</f>
        <v>43738</v>
      </c>
      <c r="H10" s="15">
        <v>1192472.05</v>
      </c>
      <c r="I10" s="16">
        <v>43738</v>
      </c>
    </row>
    <row r="11" spans="2:9" ht="16.5" x14ac:dyDescent="0.45">
      <c r="B11" s="15">
        <v>910170.06693600002</v>
      </c>
      <c r="C11" s="16">
        <v>44926</v>
      </c>
      <c r="E11" s="15">
        <v>1241777.475196</v>
      </c>
      <c r="F11" s="16">
        <f>DATE(2019,12,31)</f>
        <v>43830</v>
      </c>
      <c r="H11" s="15">
        <v>1255905.93</v>
      </c>
      <c r="I11" s="16">
        <v>43830</v>
      </c>
    </row>
    <row r="12" spans="2:9" ht="16.5" x14ac:dyDescent="0.45">
      <c r="B12" s="15">
        <v>954666.17075449997</v>
      </c>
      <c r="C12" s="16">
        <v>45016</v>
      </c>
      <c r="E12" s="15">
        <v>1068530.4575014401</v>
      </c>
      <c r="F12" s="16">
        <f>DATE(2020,3,31)</f>
        <v>43921</v>
      </c>
      <c r="H12" s="15">
        <v>1070288.82962118</v>
      </c>
      <c r="I12" s="16">
        <v>43921</v>
      </c>
    </row>
    <row r="13" spans="2:9" ht="16.5" x14ac:dyDescent="0.45">
      <c r="B13" s="15">
        <v>973102.30193449999</v>
      </c>
      <c r="C13" s="16">
        <v>45107</v>
      </c>
      <c r="E13" s="15">
        <v>1202271.15201529</v>
      </c>
      <c r="F13" s="16">
        <f>DATE(2020,6,30)</f>
        <v>44012</v>
      </c>
      <c r="H13" s="15">
        <v>1257391.8148767999</v>
      </c>
      <c r="I13" s="16">
        <v>44012</v>
      </c>
    </row>
    <row r="14" spans="2:9" ht="16.5" x14ac:dyDescent="0.45">
      <c r="B14" s="15">
        <v>971912.37326757004</v>
      </c>
      <c r="C14" s="16">
        <v>45199</v>
      </c>
      <c r="E14" s="15">
        <v>1275309.6225884701</v>
      </c>
      <c r="F14" s="16">
        <f>DATE(2020,9,30)</f>
        <v>44104</v>
      </c>
      <c r="H14" s="15">
        <v>1349411.6207226799</v>
      </c>
      <c r="I14" s="16">
        <v>44104</v>
      </c>
    </row>
    <row r="15" spans="2:9" ht="16.5" x14ac:dyDescent="0.45">
      <c r="B15" s="15">
        <v>1064255.9362079999</v>
      </c>
      <c r="C15" s="16">
        <v>45291</v>
      </c>
      <c r="E15" s="15">
        <v>1391689.64685847</v>
      </c>
      <c r="F15" s="16">
        <f>DATE(2020,12,31)</f>
        <v>44196</v>
      </c>
      <c r="H15" s="15">
        <v>1486571.8925457499</v>
      </c>
      <c r="I15" s="16">
        <v>44196</v>
      </c>
    </row>
    <row r="16" spans="2:9" ht="16.5" x14ac:dyDescent="0.45">
      <c r="B16" s="15">
        <v>1100000</v>
      </c>
      <c r="C16" s="16">
        <v>45382</v>
      </c>
      <c r="E16" s="15">
        <v>1469797.2748700001</v>
      </c>
      <c r="F16" s="16">
        <f>DATE(2021,3,31)</f>
        <v>44286</v>
      </c>
      <c r="H16" s="15">
        <v>1596538.3402233401</v>
      </c>
      <c r="I16" s="16">
        <v>44286</v>
      </c>
    </row>
    <row r="17" spans="2:9" ht="16.5" x14ac:dyDescent="0.45">
      <c r="B17" t="s">
        <v>39</v>
      </c>
      <c r="C17" s="16"/>
      <c r="E17" s="15">
        <v>1586071.36329795</v>
      </c>
      <c r="F17" s="16">
        <f>DATE(2021,6,30)</f>
        <v>44377</v>
      </c>
      <c r="H17" s="15">
        <v>1729758.2912921901</v>
      </c>
      <c r="I17" s="16">
        <v>44377</v>
      </c>
    </row>
    <row r="18" spans="2:9" ht="16.5" x14ac:dyDescent="0.45">
      <c r="B18" s="15"/>
      <c r="E18" s="15">
        <v>1653741.83256237</v>
      </c>
      <c r="F18" s="16">
        <f>DATE(2021,9,30)</f>
        <v>44469</v>
      </c>
      <c r="H18" s="15">
        <v>1823565.3335576199</v>
      </c>
      <c r="I18" s="16">
        <v>44469</v>
      </c>
    </row>
    <row r="19" spans="2:9" ht="16.5" x14ac:dyDescent="0.45">
      <c r="B19" s="15"/>
      <c r="E19" s="15">
        <v>1806808.532842</v>
      </c>
      <c r="F19" s="16">
        <f>DATE(2021,12,31)</f>
        <v>44561</v>
      </c>
      <c r="H19" s="15">
        <v>1970998.2058019999</v>
      </c>
      <c r="I19" s="16">
        <v>44561</v>
      </c>
    </row>
    <row r="20" spans="2:9" ht="16.5" x14ac:dyDescent="0.45">
      <c r="B20" s="15"/>
      <c r="E20" s="15">
        <v>1745231.99705568</v>
      </c>
      <c r="F20" s="16">
        <f>DATE(2022,3,31)</f>
        <v>44651</v>
      </c>
      <c r="H20" s="15">
        <v>1877898.7288961201</v>
      </c>
      <c r="I20" s="16">
        <v>44651</v>
      </c>
    </row>
    <row r="21" spans="2:9" ht="16.5" x14ac:dyDescent="0.45">
      <c r="B21" s="15"/>
      <c r="E21" s="15">
        <v>1526457.7461254201</v>
      </c>
      <c r="F21" s="16">
        <f>DATE(2022,6,30)</f>
        <v>44742</v>
      </c>
      <c r="H21" s="15">
        <v>1598202.3936475799</v>
      </c>
      <c r="I21" s="16">
        <v>44742</v>
      </c>
    </row>
    <row r="22" spans="2:9" ht="16.5" x14ac:dyDescent="0.45">
      <c r="B22" s="15"/>
      <c r="E22" s="15">
        <v>1538101.0236232199</v>
      </c>
      <c r="F22" s="16">
        <f>DATE(2022,9,30)</f>
        <v>44834</v>
      </c>
      <c r="H22" s="15">
        <v>1656915.0178211301</v>
      </c>
      <c r="I22" s="16">
        <v>44834</v>
      </c>
    </row>
    <row r="23" spans="2:9" ht="16.5" x14ac:dyDescent="0.45">
      <c r="B23" s="15"/>
      <c r="E23" s="15">
        <v>1572346.1639916601</v>
      </c>
      <c r="F23" s="16">
        <f>DATE(2022,12,31)</f>
        <v>44926</v>
      </c>
      <c r="H23" s="15">
        <v>1724799.6080229301</v>
      </c>
      <c r="I23" s="16">
        <v>44926</v>
      </c>
    </row>
    <row r="24" spans="2:9" ht="16.5" x14ac:dyDescent="0.45">
      <c r="B24" s="15"/>
      <c r="E24" s="15">
        <v>1643682.50489854</v>
      </c>
      <c r="F24" s="16">
        <f>DATE(2023,3,31)</f>
        <v>45016</v>
      </c>
      <c r="H24" s="15">
        <v>1814329.3430901</v>
      </c>
      <c r="I24" s="16">
        <v>45016</v>
      </c>
    </row>
    <row r="25" spans="2:9" ht="16.5" x14ac:dyDescent="0.45">
      <c r="E25" s="15">
        <v>1677725.18656138</v>
      </c>
      <c r="F25" s="16">
        <f>DATE(2023,6,30)</f>
        <v>45107</v>
      </c>
      <c r="H25" s="15">
        <v>1878131.16155072</v>
      </c>
      <c r="I25" s="16">
        <v>45107</v>
      </c>
    </row>
    <row r="26" spans="2:9" ht="16.5" x14ac:dyDescent="0.45">
      <c r="E26" s="15">
        <v>1621284.8817932601</v>
      </c>
      <c r="F26" s="16">
        <f>DATE(2023,9,30)</f>
        <v>45199</v>
      </c>
      <c r="H26" s="15">
        <v>1821126.4168881499</v>
      </c>
      <c r="I26" s="16">
        <v>45199</v>
      </c>
    </row>
    <row r="27" spans="2:9" ht="16.5" x14ac:dyDescent="0.45">
      <c r="E27" s="15">
        <v>1786989.2729372799</v>
      </c>
      <c r="F27" s="16">
        <f>DATE(2023,12,31)</f>
        <v>45291</v>
      </c>
      <c r="H27" s="15">
        <v>2019865.13373583</v>
      </c>
      <c r="I27" s="16">
        <v>45291</v>
      </c>
    </row>
    <row r="28" spans="2:9" ht="16.5" x14ac:dyDescent="0.45">
      <c r="E28" s="15">
        <v>2000000</v>
      </c>
      <c r="F28" s="16">
        <f>DATE(2024,3,31)</f>
        <v>45382</v>
      </c>
      <c r="H28" s="27">
        <v>2100000</v>
      </c>
      <c r="I28" s="16">
        <f>DATE(2024,3,31)</f>
        <v>45382</v>
      </c>
    </row>
    <row r="29" spans="2:9" x14ac:dyDescent="0.35">
      <c r="E29" t="s">
        <v>39</v>
      </c>
      <c r="H29" t="s">
        <v>39</v>
      </c>
    </row>
  </sheetData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285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HUB</vt:lpstr>
      <vt:lpstr>Page3 Summary</vt:lpstr>
      <vt:lpstr>Growth</vt:lpstr>
      <vt:lpstr>Dividend</vt:lpstr>
      <vt:lpstr>Core</vt:lpstr>
      <vt:lpstr>Sheet6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</dc:creator>
  <dc:description/>
  <cp:lastModifiedBy>Alex Chen</cp:lastModifiedBy>
  <cp:revision>6</cp:revision>
  <cp:lastPrinted>2023-10-04T16:37:37Z</cp:lastPrinted>
  <dcterms:created xsi:type="dcterms:W3CDTF">2022-05-29T05:59:02Z</dcterms:created>
  <dcterms:modified xsi:type="dcterms:W3CDTF">2024-04-15T02:40:34Z</dcterms:modified>
  <dc:language>en-CA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ComplianceAssetId">
    <vt:lpwstr/>
  </property>
  <property fmtid="{D5CDD505-2E9C-101B-9397-08002B2CF9AE}" pid="4" name="ContentTypeId">
    <vt:lpwstr>0x010100267FFD08DB52BB448DF99E934E9746A4</vt:lpwstr>
  </property>
  <property fmtid="{D5CDD505-2E9C-101B-9397-08002B2CF9AE}" pid="5" name="MediaServiceImageTags">
    <vt:lpwstr/>
  </property>
  <property fmtid="{D5CDD505-2E9C-101B-9397-08002B2CF9AE}" pid="6" name="TemplateUrl">
    <vt:lpwstr/>
  </property>
  <property fmtid="{D5CDD505-2E9C-101B-9397-08002B2CF9AE}" pid="7" name="TriggerFlowInfo">
    <vt:lpwstr/>
  </property>
  <property fmtid="{D5CDD505-2E9C-101B-9397-08002B2CF9AE}" pid="8" name="_ExtendedDescription">
    <vt:lpwstr/>
  </property>
  <property fmtid="{D5CDD505-2E9C-101B-9397-08002B2CF9AE}" pid="9" name="xd_ProgID">
    <vt:lpwstr/>
  </property>
  <property fmtid="{D5CDD505-2E9C-101B-9397-08002B2CF9AE}" pid="10" name="xd_Signature">
    <vt:bool>false</vt:bool>
  </property>
</Properties>
</file>