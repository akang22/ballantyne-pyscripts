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HUB" sheetId="1" state="visible" r:id="rId3"/>
    <sheet name="Page3 Summary" sheetId="2" state="visible" r:id="rId4"/>
    <sheet name="Growth" sheetId="3" state="visible" r:id="rId5"/>
    <sheet name="Dividend" sheetId="4" state="visible" r:id="rId6"/>
    <sheet name="Core" sheetId="5" state="visible" r:id="rId7"/>
    <sheet name="Sheet7" sheetId="6" state="visible" r:id="rId8"/>
    <sheet name="Sheet6" sheetId="7" state="visible" r:id="rId9"/>
    <sheet name="200500 " sheetId="8" state="visible" r:id="rId10"/>
    <sheet name="200777" sheetId="9" state="visible" r:id="rId11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<sst xmlns="http://schemas.openxmlformats.org/spreadsheetml/2006/main" count="141" uniqueCount="51">
  <si>
    <t xml:space="preserve">STANDARD</t>
  </si>
  <si>
    <t xml:space="preserve">Y</t>
  </si>
  <si>
    <t xml:space="preserve">M</t>
  </si>
  <si>
    <t xml:space="preserve">D</t>
  </si>
  <si>
    <t xml:space="preserve">ANNUAL</t>
  </si>
  <si>
    <t xml:space="preserve">Q-D</t>
  </si>
  <si>
    <t xml:space="preserve">Y-D</t>
  </si>
  <si>
    <t xml:space="preserve">XIRR-1</t>
  </si>
  <si>
    <t xml:space="preserve">XIRR-3</t>
  </si>
  <si>
    <t xml:space="preserve">XIRR-5</t>
  </si>
  <si>
    <t xml:space="preserve">XIRR-10</t>
  </si>
  <si>
    <t xml:space="preserve">XIRR-INC</t>
  </si>
  <si>
    <t xml:space="preserve">CTL Shift V</t>
  </si>
  <si>
    <t xml:space="preserve">Run Macro2</t>
  </si>
  <si>
    <t xml:space="preserve">Period</t>
  </si>
  <si>
    <t xml:space="preserve">PortCode</t>
  </si>
  <si>
    <t xml:space="preserve">3Months</t>
  </si>
  <si>
    <t xml:space="preserve">YTD</t>
  </si>
  <si>
    <t xml:space="preserve">1Year</t>
  </si>
  <si>
    <t xml:space="preserve">3Year</t>
  </si>
  <si>
    <t xml:space="preserve">5Year</t>
  </si>
  <si>
    <t xml:space="preserve">INCEPT</t>
  </si>
  <si>
    <t xml:space="preserve">PeriodEndDate</t>
  </si>
  <si>
    <t xml:space="preserve">YRS</t>
  </si>
  <si>
    <t xml:space="preserve">Growth Model</t>
  </si>
  <si>
    <t xml:space="preserve">Growth</t>
  </si>
  <si>
    <t xml:space="preserve">CURR</t>
  </si>
  <si>
    <t xml:space="preserve">Type in =DATE(2019,1,01)</t>
  </si>
  <si>
    <t xml:space="preserve">Start</t>
  </si>
  <si>
    <t xml:space="preserve">End</t>
  </si>
  <si>
    <t xml:space="preserve">RETURNS</t>
  </si>
  <si>
    <t xml:space="preserve">Result</t>
  </si>
  <si>
    <t xml:space="preserve">Dividend Model</t>
  </si>
  <si>
    <t xml:space="preserve">Dividend</t>
  </si>
  <si>
    <t xml:space="preserve">Core Plus Model</t>
  </si>
  <si>
    <t xml:space="preserve">Core Plus</t>
  </si>
  <si>
    <t xml:space="preserve">;</t>
  </si>
  <si>
    <t xml:space="preserve">Allan</t>
  </si>
  <si>
    <t xml:space="preserve">model</t>
  </si>
  <si>
    <t xml:space="preserve">test_token</t>
  </si>
  <si>
    <t xml:space="preserve">name:</t>
  </si>
  <si>
    <t xml:space="preserve">CORE</t>
  </si>
  <si>
    <t xml:space="preserve">DIVIDEND</t>
  </si>
  <si>
    <t xml:space="preserve">GROWTH</t>
  </si>
  <si>
    <t xml:space="preserve">test_mv</t>
  </si>
  <si>
    <t xml:space="preserve">amounts:</t>
  </si>
  <si>
    <t xml:space="preserve">end</t>
  </si>
  <si>
    <t xml:space="preserve">ALLAN PANKRATZ</t>
  </si>
  <si>
    <t xml:space="preserve">RRSP</t>
  </si>
  <si>
    <t xml:space="preserve">Client 2</t>
  </si>
  <si>
    <t xml:space="preserve">Cash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</si>
</sst>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d/mm/yyyy"/>
    <numFmt numFmtId="166" formatCode="0.00%"/>
    <numFmt numFmtId="167" formatCode="0.00"/>
    <numFmt numFmtId="168" formatCode="\$#,##0.00"/>
    <numFmt numFmtId="169" formatCode="\$#,##0.00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Open Sans Light"/>
      <family val="2"/>
      <charset val="1"/>
    </font>
    <font>
      <b val="true"/>
      <sz val="11"/>
      <color rgb="FF000000"/>
      <name val="Open Sans Light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Open Sans Light"/>
      <family val="2"/>
      <charset val="1"/>
    </font>
    <font>
      <sz val="11"/>
      <color rgb="FF000000"/>
      <name val="Inconsolata"/>
      <family val="0"/>
      <charset val="1"/>
    </font>
    <font>
      <b val="true"/>
      <sz val="10"/>
      <color rgb="FF000000"/>
      <name val="Open Sans Light"/>
      <family val="2"/>
      <charset val="1"/>
    </font>
    <font>
      <b val="true"/>
      <sz val="11"/>
      <color rgb="FF000000"/>
      <name val="Open Sans Light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AE3F3"/>
        <bgColor rgb="FFCCFFFF"/>
      </patternFill>
    </fill>
    <fill>
      <patternFill patternType="solid">
        <fgColor rgb="FFFFF2CC"/>
        <bgColor rgb="FFFFFFFF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 style="thin">
        <color rgb="FF8FAADC"/>
      </top>
      <bottom style="thin">
        <color rgb="FF8FAADC"/>
      </bottom>
      <diagonal/>
    </border>
    <border diagonalUp="false" diagonalDown="false">
      <left style="thin">
        <color rgb="FF8FAADC"/>
      </left>
      <right/>
      <top style="thin">
        <color rgb="FF8FAADC"/>
      </top>
      <bottom style="thin">
        <color rgb="FF8FAADC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9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2CC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I4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B10" activeCellId="0" sqref="B10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28"/>
    <col collapsed="false" customWidth="true" hidden="false" outlineLevel="0" max="2" min="2" style="0" width="16.71"/>
    <col collapsed="false" customWidth="true" hidden="false" outlineLevel="0" max="3" min="3" style="0" width="18.71"/>
    <col collapsed="false" customWidth="true" hidden="false" outlineLevel="0" max="5" min="5" style="0" width="14.71"/>
    <col collapsed="false" customWidth="true" hidden="false" outlineLevel="0" max="6" min="6" style="0" width="23.57"/>
    <col collapsed="false" customWidth="true" hidden="false" outlineLevel="0" max="8" min="8" style="0" width="16.57"/>
    <col collapsed="false" customWidth="true" hidden="false" outlineLevel="0" max="9" min="9" style="0" width="14.71"/>
  </cols>
  <sheetData>
    <row r="3" customFormat="false" ht="16.5" hidden="false" customHeight="false" outlineLevel="0" collapsed="false">
      <c r="A3" s="1" t="s">
        <v>0</v>
      </c>
      <c r="B3" s="2" t="s">
        <v>1</v>
      </c>
      <c r="C3" s="2" t="s">
        <v>2</v>
      </c>
      <c r="D3" s="2" t="s">
        <v>3</v>
      </c>
      <c r="F3" s="1" t="s">
        <v>4</v>
      </c>
      <c r="G3" s="2" t="s">
        <v>1</v>
      </c>
      <c r="H3" s="2" t="s">
        <v>2</v>
      </c>
      <c r="I3" s="2" t="s">
        <v>3</v>
      </c>
    </row>
    <row r="4" customFormat="false" ht="16.5" hidden="false" customHeight="false" outlineLevel="0" collapsed="false">
      <c r="A4" s="2" t="s">
        <v>5</v>
      </c>
      <c r="B4" s="1" t="n">
        <v>2024</v>
      </c>
      <c r="C4" s="1" t="n">
        <v>1</v>
      </c>
      <c r="D4" s="1" t="n">
        <v>1</v>
      </c>
      <c r="F4" s="2"/>
      <c r="G4" s="1" t="n">
        <v>2019</v>
      </c>
      <c r="H4" s="1" t="n">
        <v>1</v>
      </c>
      <c r="I4" s="1" t="n">
        <v>1</v>
      </c>
    </row>
    <row r="5" customFormat="false" ht="16.5" hidden="false" customHeight="false" outlineLevel="0" collapsed="false">
      <c r="A5" s="2"/>
      <c r="B5" s="1" t="n">
        <v>2024</v>
      </c>
      <c r="C5" s="1" t="n">
        <v>3</v>
      </c>
      <c r="D5" s="1" t="n">
        <v>31</v>
      </c>
      <c r="F5" s="2"/>
      <c r="G5" s="1" t="n">
        <v>2019</v>
      </c>
      <c r="H5" s="1" t="n">
        <v>12</v>
      </c>
      <c r="I5" s="1" t="n">
        <v>31</v>
      </c>
    </row>
    <row r="6" customFormat="false" ht="16.5" hidden="false" customHeight="false" outlineLevel="0" collapsed="false">
      <c r="A6" s="2"/>
      <c r="B6" s="1"/>
      <c r="C6" s="1"/>
      <c r="D6" s="1"/>
      <c r="F6" s="2"/>
    </row>
    <row r="7" customFormat="false" ht="16.5" hidden="false" customHeight="false" outlineLevel="0" collapsed="false">
      <c r="A7" s="2" t="s">
        <v>6</v>
      </c>
      <c r="B7" s="1" t="n">
        <v>2024</v>
      </c>
      <c r="C7" s="1" t="n">
        <v>1</v>
      </c>
      <c r="D7" s="1" t="n">
        <v>1</v>
      </c>
      <c r="F7" s="2"/>
      <c r="G7" s="1" t="n">
        <v>2020</v>
      </c>
      <c r="H7" s="1" t="n">
        <v>1</v>
      </c>
      <c r="I7" s="1" t="n">
        <v>1</v>
      </c>
    </row>
    <row r="8" customFormat="false" ht="16.5" hidden="false" customHeight="false" outlineLevel="0" collapsed="false">
      <c r="A8" s="2"/>
      <c r="B8" s="1" t="n">
        <v>2024</v>
      </c>
      <c r="C8" s="1" t="n">
        <v>3</v>
      </c>
      <c r="D8" s="1" t="n">
        <v>31</v>
      </c>
      <c r="F8" s="2"/>
      <c r="G8" s="1" t="n">
        <v>2020</v>
      </c>
      <c r="H8" s="1" t="n">
        <v>12</v>
      </c>
      <c r="I8" s="1" t="n">
        <v>31</v>
      </c>
    </row>
    <row r="9" customFormat="false" ht="16.5" hidden="false" customHeight="false" outlineLevel="0" collapsed="false">
      <c r="A9" s="2"/>
      <c r="B9" s="1"/>
      <c r="C9" s="1"/>
      <c r="D9" s="1"/>
      <c r="F9" s="2"/>
    </row>
    <row r="10" customFormat="false" ht="16.5" hidden="false" customHeight="false" outlineLevel="0" collapsed="false">
      <c r="A10" s="2" t="s">
        <v>7</v>
      </c>
      <c r="B10" s="1" t="n">
        <v>2023</v>
      </c>
      <c r="C10" s="1" t="n">
        <v>4</v>
      </c>
      <c r="D10" s="1" t="n">
        <v>1</v>
      </c>
      <c r="F10" s="2"/>
      <c r="G10" s="1" t="n">
        <v>2021</v>
      </c>
      <c r="H10" s="1" t="n">
        <v>1</v>
      </c>
      <c r="I10" s="1" t="n">
        <v>1</v>
      </c>
    </row>
    <row r="11" customFormat="false" ht="16.5" hidden="false" customHeight="false" outlineLevel="0" collapsed="false">
      <c r="A11" s="2"/>
      <c r="B11" s="1" t="n">
        <v>2024</v>
      </c>
      <c r="C11" s="1" t="n">
        <v>3</v>
      </c>
      <c r="D11" s="1" t="n">
        <v>31</v>
      </c>
      <c r="F11" s="2"/>
      <c r="G11" s="1" t="n">
        <v>2021</v>
      </c>
      <c r="H11" s="1" t="n">
        <v>12</v>
      </c>
      <c r="I11" s="1" t="n">
        <v>31</v>
      </c>
    </row>
    <row r="12" customFormat="false" ht="16.5" hidden="false" customHeight="false" outlineLevel="0" collapsed="false">
      <c r="A12" s="2"/>
      <c r="B12" s="1"/>
      <c r="C12" s="1"/>
      <c r="D12" s="1"/>
      <c r="F12" s="2"/>
    </row>
    <row r="13" customFormat="false" ht="16.5" hidden="false" customHeight="false" outlineLevel="0" collapsed="false">
      <c r="A13" s="2" t="s">
        <v>8</v>
      </c>
      <c r="B13" s="1" t="n">
        <v>2021</v>
      </c>
      <c r="C13" s="1" t="n">
        <v>4</v>
      </c>
      <c r="D13" s="1" t="n">
        <v>1</v>
      </c>
      <c r="F13" s="2"/>
      <c r="G13" s="1" t="n">
        <v>2022</v>
      </c>
      <c r="H13" s="1" t="n">
        <v>1</v>
      </c>
      <c r="I13" s="1" t="n">
        <v>1</v>
      </c>
    </row>
    <row r="14" customFormat="false" ht="16.5" hidden="false" customHeight="false" outlineLevel="0" collapsed="false">
      <c r="A14" s="2"/>
      <c r="B14" s="1" t="n">
        <v>2024</v>
      </c>
      <c r="C14" s="1" t="n">
        <v>3</v>
      </c>
      <c r="D14" s="1" t="n">
        <v>31</v>
      </c>
      <c r="F14" s="2"/>
      <c r="G14" s="1" t="n">
        <v>2022</v>
      </c>
      <c r="H14" s="1" t="n">
        <v>12</v>
      </c>
      <c r="I14" s="1" t="n">
        <v>31</v>
      </c>
    </row>
    <row r="15" customFormat="false" ht="16.5" hidden="false" customHeight="false" outlineLevel="0" collapsed="false">
      <c r="A15" s="2"/>
      <c r="B15" s="1"/>
      <c r="C15" s="1"/>
      <c r="D15" s="1"/>
      <c r="F15" s="2"/>
    </row>
    <row r="16" customFormat="false" ht="16.5" hidden="false" customHeight="false" outlineLevel="0" collapsed="false">
      <c r="A16" s="2" t="s">
        <v>9</v>
      </c>
      <c r="B16" s="1" t="n">
        <v>2019</v>
      </c>
      <c r="C16" s="1" t="n">
        <v>4</v>
      </c>
      <c r="D16" s="1" t="n">
        <v>1</v>
      </c>
      <c r="F16" s="2"/>
      <c r="G16" s="1" t="n">
        <v>2023</v>
      </c>
      <c r="H16" s="1" t="n">
        <v>1</v>
      </c>
      <c r="I16" s="1" t="n">
        <v>1</v>
      </c>
    </row>
    <row r="17" customFormat="false" ht="16.5" hidden="false" customHeight="false" outlineLevel="0" collapsed="false">
      <c r="A17" s="2"/>
      <c r="B17" s="1" t="n">
        <v>2024</v>
      </c>
      <c r="C17" s="1" t="n">
        <v>3</v>
      </c>
      <c r="D17" s="1" t="n">
        <v>31</v>
      </c>
      <c r="F17" s="2"/>
      <c r="G17" s="1" t="n">
        <v>2023</v>
      </c>
      <c r="H17" s="1" t="n">
        <v>12</v>
      </c>
      <c r="I17" s="1" t="n">
        <v>31</v>
      </c>
    </row>
    <row r="18" customFormat="false" ht="16.5" hidden="false" customHeight="false" outlineLevel="0" collapsed="false">
      <c r="A18" s="2"/>
      <c r="B18" s="1"/>
      <c r="C18" s="1"/>
      <c r="D18" s="1"/>
      <c r="F18" s="2"/>
    </row>
    <row r="19" customFormat="false" ht="16.5" hidden="false" customHeight="false" outlineLevel="0" collapsed="false">
      <c r="A19" s="2" t="s">
        <v>10</v>
      </c>
      <c r="B19" s="1" t="n">
        <v>2018</v>
      </c>
      <c r="C19" s="1" t="n">
        <v>10</v>
      </c>
      <c r="D19" s="1" t="n">
        <v>1</v>
      </c>
      <c r="F19" s="2"/>
      <c r="G19" s="1" t="n">
        <v>2024</v>
      </c>
      <c r="H19" s="1" t="n">
        <v>1</v>
      </c>
      <c r="I19" s="1" t="n">
        <v>1</v>
      </c>
    </row>
    <row r="20" customFormat="false" ht="16.5" hidden="false" customHeight="false" outlineLevel="0" collapsed="false">
      <c r="A20" s="1"/>
      <c r="B20" s="1" t="n">
        <v>2024</v>
      </c>
      <c r="C20" s="1" t="n">
        <v>3</v>
      </c>
      <c r="D20" s="1" t="n">
        <v>31</v>
      </c>
      <c r="F20" s="1"/>
      <c r="G20" s="1" t="n">
        <v>2024</v>
      </c>
      <c r="H20" s="1" t="n">
        <v>12</v>
      </c>
      <c r="I20" s="1" t="n">
        <v>31</v>
      </c>
    </row>
    <row r="22" customFormat="false" ht="16.5" hidden="false" customHeight="false" outlineLevel="0" collapsed="false">
      <c r="A22" s="2" t="s">
        <v>11</v>
      </c>
      <c r="B22" s="1" t="n">
        <v>2018</v>
      </c>
      <c r="C22" s="1" t="n">
        <v>10</v>
      </c>
      <c r="D22" s="1" t="n">
        <v>1</v>
      </c>
      <c r="F22" s="2"/>
      <c r="G22" s="1" t="n">
        <v>2025</v>
      </c>
      <c r="H22" s="1" t="n">
        <v>1</v>
      </c>
      <c r="I22" s="1" t="n">
        <v>1</v>
      </c>
    </row>
    <row r="23" customFormat="false" ht="16.5" hidden="false" customHeight="false" outlineLevel="0" collapsed="false">
      <c r="B23" s="1" t="n">
        <v>2024</v>
      </c>
      <c r="C23" s="1" t="n">
        <v>3</v>
      </c>
      <c r="D23" s="1" t="n">
        <v>31</v>
      </c>
      <c r="F23" s="1"/>
      <c r="G23" s="1" t="n">
        <v>2025</v>
      </c>
      <c r="H23" s="1" t="n">
        <v>12</v>
      </c>
      <c r="I23" s="1" t="n">
        <v>31</v>
      </c>
    </row>
    <row r="25" customFormat="false" ht="16.5" hidden="false" customHeight="false" outlineLevel="0" collapsed="false">
      <c r="F25" s="2"/>
      <c r="G25" s="1" t="n">
        <v>2026</v>
      </c>
      <c r="H25" s="1" t="n">
        <v>1</v>
      </c>
      <c r="I25" s="1" t="n">
        <v>1</v>
      </c>
    </row>
    <row r="26" customFormat="false" ht="16.5" hidden="false" customHeight="false" outlineLevel="0" collapsed="false">
      <c r="G26" s="1" t="n">
        <v>2026</v>
      </c>
      <c r="H26" s="1" t="n">
        <v>12</v>
      </c>
      <c r="I26" s="1" t="n">
        <v>31</v>
      </c>
    </row>
    <row r="28" customFormat="false" ht="16.5" hidden="false" customHeight="false" outlineLevel="0" collapsed="false">
      <c r="F28" s="2"/>
      <c r="G28" s="1" t="n">
        <v>2027</v>
      </c>
      <c r="H28" s="1" t="n">
        <v>1</v>
      </c>
      <c r="I28" s="1" t="n">
        <v>1</v>
      </c>
    </row>
    <row r="29" customFormat="false" ht="16.5" hidden="false" customHeight="false" outlineLevel="0" collapsed="false">
      <c r="G29" s="1" t="n">
        <v>2027</v>
      </c>
      <c r="H29" s="1" t="n">
        <v>12</v>
      </c>
      <c r="I29" s="1" t="n">
        <v>31</v>
      </c>
    </row>
    <row r="30" customFormat="false" ht="15" hidden="false" customHeight="false" outlineLevel="0" collapsed="false">
      <c r="A30" s="3" t="s">
        <v>12</v>
      </c>
    </row>
    <row r="31" customFormat="false" ht="16.5" hidden="false" customHeight="false" outlineLevel="0" collapsed="false">
      <c r="A31" s="4" t="s">
        <v>13</v>
      </c>
      <c r="F31" s="2"/>
      <c r="G31" s="1" t="n">
        <v>2028</v>
      </c>
      <c r="H31" s="1" t="n">
        <v>1</v>
      </c>
      <c r="I31" s="1" t="n">
        <v>1</v>
      </c>
    </row>
    <row r="32" customFormat="false" ht="16.5" hidden="false" customHeight="false" outlineLevel="0" collapsed="false">
      <c r="G32" s="1" t="n">
        <v>2028</v>
      </c>
      <c r="H32" s="1" t="n">
        <v>12</v>
      </c>
      <c r="I32" s="1" t="n">
        <v>31</v>
      </c>
    </row>
    <row r="34" customFormat="false" ht="16.5" hidden="false" customHeight="false" outlineLevel="0" collapsed="false">
      <c r="F34" s="2"/>
      <c r="G34" s="1" t="n">
        <v>2029</v>
      </c>
      <c r="H34" s="1" t="n">
        <v>1</v>
      </c>
      <c r="I34" s="1" t="n">
        <v>1</v>
      </c>
    </row>
    <row r="35" customFormat="false" ht="16.5" hidden="false" customHeight="false" outlineLevel="0" collapsed="false">
      <c r="G35" s="1" t="n">
        <v>2029</v>
      </c>
      <c r="H35" s="1" t="n">
        <v>12</v>
      </c>
      <c r="I35" s="1" t="n">
        <v>31</v>
      </c>
    </row>
    <row r="37" customFormat="false" ht="16.5" hidden="false" customHeight="false" outlineLevel="0" collapsed="false">
      <c r="F37" s="2"/>
      <c r="G37" s="1" t="n">
        <v>2030</v>
      </c>
      <c r="H37" s="1" t="n">
        <v>1</v>
      </c>
      <c r="I37" s="1" t="n">
        <v>1</v>
      </c>
    </row>
    <row r="38" customFormat="false" ht="16.5" hidden="false" customHeight="false" outlineLevel="0" collapsed="false">
      <c r="G38" s="1" t="n">
        <v>2030</v>
      </c>
      <c r="H38" s="1" t="n">
        <v>12</v>
      </c>
      <c r="I38" s="1" t="n">
        <v>31</v>
      </c>
    </row>
    <row r="40" customFormat="false" ht="16.5" hidden="false" customHeight="false" outlineLevel="0" collapsed="false">
      <c r="G40" s="1" t="n">
        <v>2031</v>
      </c>
      <c r="H40" s="1" t="n">
        <v>1</v>
      </c>
      <c r="I40" s="1" t="n">
        <v>1</v>
      </c>
    </row>
    <row r="41" customFormat="false" ht="16.5" hidden="false" customHeight="false" outlineLevel="0" collapsed="false">
      <c r="G41" s="1" t="n">
        <v>2031</v>
      </c>
      <c r="H41" s="1" t="n">
        <v>12</v>
      </c>
      <c r="I41" s="1" t="n">
        <v>31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C22" activeCellId="0" sqref="C22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11.14"/>
    <col collapsed="false" customWidth="true" hidden="false" outlineLevel="0" max="2" min="2" style="0" width="12.86"/>
    <col collapsed="false" customWidth="true" hidden="false" outlineLevel="0" max="3" min="3" style="0" width="8.86"/>
    <col collapsed="false" customWidth="true" hidden="false" outlineLevel="0" max="7" min="4" style="0" width="7.42"/>
    <col collapsed="false" customWidth="true" hidden="false" outlineLevel="0" max="8" min="8" style="0" width="7.29"/>
    <col collapsed="false" customWidth="true" hidden="false" outlineLevel="0" max="9" min="9" style="0" width="13.42"/>
    <col collapsed="false" customWidth="true" hidden="false" outlineLevel="0" max="10" min="10" style="0" width="10.14"/>
  </cols>
  <sheetData>
    <row r="1" customFormat="false" ht="15" hidden="false" customHeight="false" outlineLevel="0" collapsed="false">
      <c r="A1" s="0" t="s">
        <v>14</v>
      </c>
    </row>
    <row r="2" customFormat="false" ht="15" hidden="false" customHeight="false" outlineLevel="0" collapsed="false">
      <c r="A2" s="5" t="n">
        <v>45291</v>
      </c>
    </row>
    <row r="4" customFormat="false" ht="15" hidden="false" customHeight="false" outlineLevel="0" collapsed="false"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21</v>
      </c>
      <c r="I4" s="6" t="s">
        <v>22</v>
      </c>
      <c r="J4" s="7" t="s">
        <v>23</v>
      </c>
    </row>
    <row r="5" customFormat="false" ht="15" hidden="false" customHeight="false" outlineLevel="0" collapsed="false">
      <c r="A5" s="8" t="n">
        <f aca="false">Growth!B3</f>
        <v>43465</v>
      </c>
      <c r="B5" s="0" t="str">
        <f aca="false">Growth!B1</f>
        <v>Growth</v>
      </c>
      <c r="C5" s="9" t="n">
        <f aca="false">Growth!F6</f>
        <v>0.0982560640251888</v>
      </c>
      <c r="D5" s="9" t="n">
        <f aca="false">Growth!F7</f>
        <v>0.0982560640251888</v>
      </c>
      <c r="E5" s="9" t="n">
        <f aca="false">Growth!F8</f>
        <v>0.222000283002853</v>
      </c>
      <c r="F5" s="9" t="n">
        <f aca="false">Growth!F9</f>
        <v>0.115763372182846</v>
      </c>
      <c r="G5" s="9" t="n">
        <f aca="false">Growth!F10</f>
        <v>0.145714098215103</v>
      </c>
      <c r="H5" s="9" t="n">
        <f aca="false">Growth!F11</f>
        <v>0.163814932107925</v>
      </c>
      <c r="I5" s="8" t="n">
        <f aca="false">$A$2</f>
        <v>45291</v>
      </c>
      <c r="J5" s="10" t="n">
        <f aca="false">_xlfn.DAYS(I5,A5)/365</f>
        <v>5.0027397260274</v>
      </c>
    </row>
    <row r="6" customFormat="false" ht="15" hidden="false" customHeight="false" outlineLevel="0" collapsed="false">
      <c r="A6" s="8" t="n">
        <f aca="false">Dividend!B3</f>
        <v>43465</v>
      </c>
      <c r="B6" s="0" t="str">
        <f aca="false">Dividend!B1</f>
        <v>Dividend</v>
      </c>
      <c r="C6" s="9" t="n">
        <f aca="false">Dividend!F6</f>
        <v>0.0674893748184791</v>
      </c>
      <c r="D6" s="9" t="n">
        <f aca="false">Dividend!F7</f>
        <v>0.0674893748184791</v>
      </c>
      <c r="E6" s="9" t="n">
        <f aca="false">Dividend!F8</f>
        <v>0.160087877511978</v>
      </c>
      <c r="F6" s="9" t="n">
        <f aca="false">Dividend!F9</f>
        <v>0.0907073825597763</v>
      </c>
      <c r="G6" s="9" t="n">
        <f aca="false">Dividend!F10</f>
        <v>0.110648959875107</v>
      </c>
      <c r="H6" s="9" t="n">
        <f aca="false">Dividend!F11</f>
        <v>0.130849760770798</v>
      </c>
      <c r="I6" s="8" t="n">
        <f aca="false">$A$2</f>
        <v>45291</v>
      </c>
      <c r="J6" s="10" t="n">
        <f aca="false">_xlfn.DAYS(I6,A6)/365</f>
        <v>5.0027397260274</v>
      </c>
    </row>
    <row r="7" customFormat="false" ht="15" hidden="false" customHeight="false" outlineLevel="0" collapsed="false">
      <c r="A7" s="8" t="n">
        <f aca="false">Core!B3</f>
        <v>44561</v>
      </c>
      <c r="B7" s="0" t="str">
        <f aca="false">Core!B1</f>
        <v>Core Plus</v>
      </c>
      <c r="C7" s="9" t="n">
        <f aca="false">Core!F6</f>
        <v>0.115772274051114</v>
      </c>
      <c r="D7" s="9" t="n">
        <f aca="false">Core!F7</f>
        <v>0.115772274051114</v>
      </c>
      <c r="E7" s="9" t="n">
        <f aca="false">Core!F8</f>
        <v>0.243114632368088</v>
      </c>
      <c r="F7" s="9" t="n">
        <f aca="false">Core!F9</f>
        <v>0.0793822556734085</v>
      </c>
      <c r="G7" s="9" t="n">
        <f aca="false">Core!F10</f>
        <v>0.0793822556734085</v>
      </c>
      <c r="H7" s="9" t="n">
        <f aca="false">Core!F11</f>
        <v>0.0793822556734085</v>
      </c>
      <c r="I7" s="8" t="n">
        <f aca="false">$A$2</f>
        <v>45291</v>
      </c>
      <c r="J7" s="10" t="n">
        <f aca="false">_xlfn.DAYS(I7,A7)/365</f>
        <v>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0"/>
  <sheetViews>
    <sheetView showFormulas="false" showGridLines="true" showRowColHeaders="true" showZeros="true" rightToLeft="false" tabSelected="false" showOutlineSymbols="true" defaultGridColor="true" view="normal" topLeftCell="A28" colorId="64" zoomScale="65" zoomScaleNormal="65" zoomScalePageLayoutView="100" workbookViewId="0">
      <selection pane="topLeft" activeCell="A44" activeCellId="0" sqref="A44"/>
    </sheetView>
  </sheetViews>
  <sheetFormatPr defaultColWidth="9.1484375" defaultRowHeight="16.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6.71"/>
    <col collapsed="false" customWidth="true" hidden="false" outlineLevel="0" max="3" min="3" style="1" width="18.71"/>
    <col collapsed="false" customWidth="true" hidden="false" outlineLevel="0" max="4" min="4" style="1" width="10.71"/>
    <col collapsed="false" customWidth="true" hidden="false" outlineLevel="0" max="5" min="5" style="1" width="14.71"/>
    <col collapsed="false" customWidth="true" hidden="false" outlineLevel="0" max="6" min="6" style="11" width="23.57"/>
    <col collapsed="false" customWidth="false" hidden="false" outlineLevel="0" max="7" min="7" style="1" width="9.14"/>
    <col collapsed="false" customWidth="true" hidden="false" outlineLevel="0" max="8" min="8" style="1" width="16.57"/>
    <col collapsed="false" customWidth="true" hidden="false" outlineLevel="0" max="9" min="9" style="1" width="14.71"/>
    <col collapsed="false" customWidth="true" hidden="false" outlineLevel="0" max="10" min="10" style="1" width="13.71"/>
    <col collapsed="false" customWidth="false" hidden="false" outlineLevel="0" max="13" min="11" style="1" width="9.14"/>
    <col collapsed="false" customWidth="true" hidden="false" outlineLevel="0" max="14" min="14" style="1" width="13"/>
    <col collapsed="false" customWidth="false" hidden="false" outlineLevel="0" max="16384" min="15" style="1" width="9.14"/>
  </cols>
  <sheetData>
    <row r="1" customFormat="false" ht="16.5" hidden="false" customHeight="false" outlineLevel="0" collapsed="false">
      <c r="A1" s="12" t="s">
        <v>24</v>
      </c>
      <c r="B1" s="13" t="s">
        <v>25</v>
      </c>
      <c r="C1" s="13"/>
      <c r="D1" s="14"/>
      <c r="E1" s="14"/>
    </row>
    <row r="2" customFormat="false" ht="16.5" hidden="false" customHeight="false" outlineLevel="0" collapsed="false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customFormat="false" ht="18" hidden="false" customHeight="false" outlineLevel="0" collapsed="false">
      <c r="A3" s="15" t="n">
        <v>1000000</v>
      </c>
      <c r="B3" s="16" t="n">
        <f aca="false">DATE(2018,12,31)</f>
        <v>43465</v>
      </c>
      <c r="C3" s="1" t="s">
        <v>27</v>
      </c>
      <c r="G3" s="17"/>
      <c r="H3" s="17" t="n">
        <f aca="false">IF(AND(DATE($O$3,$P$3,$Q$3)&lt;=$B3, $B3&lt;=DATE($O$4,$P$4,$Q$4)), IF(AND(H4=0, $A3 &gt; 0), 0, 1), IF(AND(H4&lt;&gt;0, $A3 &gt; 0), 1, 0))</f>
        <v>0</v>
      </c>
      <c r="I3" s="17" t="n">
        <f aca="false">IF(OR($H4&lt;&gt;0,$H3=0), 0, 1)</f>
        <v>0</v>
      </c>
      <c r="J3" s="17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 t="n">
        <f aca="false">HUB!G40</f>
        <v>2031</v>
      </c>
      <c r="P3" s="1" t="n">
        <f aca="false">HUB!H40</f>
        <v>1</v>
      </c>
      <c r="Q3" s="1" t="n">
        <f aca="false">HUB!I40</f>
        <v>1</v>
      </c>
    </row>
    <row r="4" customFormat="false" ht="18" hidden="false" customHeight="false" outlineLevel="0" collapsed="false">
      <c r="A4" s="15" t="n">
        <v>-1122848.04</v>
      </c>
      <c r="B4" s="16" t="n">
        <f aca="false">DATE(2019,3,31)</f>
        <v>43555</v>
      </c>
      <c r="G4" s="17"/>
      <c r="H4" s="17" t="n">
        <f aca="false">IF(AND(DATE($O$3,$P$3,$Q$3)&lt;=$B4, $B4&lt;=DATE($O$4,$P$4,$Q$4)), IF(AND(H5=0, $A4 &gt; 0), 0, 1), IF(AND(H5&lt;&gt;0, $A4 &gt; 0), 1, 0))</f>
        <v>0</v>
      </c>
      <c r="I4" s="17" t="n">
        <f aca="false">IF(OR($H5&lt;&gt;0,$H4=0), 0, 1)</f>
        <v>0</v>
      </c>
      <c r="J4" s="17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1" t="s">
        <v>29</v>
      </c>
      <c r="O4" s="1" t="n">
        <f aca="false">HUB!G41</f>
        <v>2031</v>
      </c>
      <c r="P4" s="1" t="n">
        <f aca="false">HUB!H41</f>
        <v>12</v>
      </c>
      <c r="Q4" s="1" t="n">
        <f aca="false">HUB!I41</f>
        <v>31</v>
      </c>
    </row>
    <row r="5" customFormat="false" ht="18" hidden="false" customHeight="false" outlineLevel="0" collapsed="false">
      <c r="A5" s="15" t="n">
        <v>1122848.04</v>
      </c>
      <c r="B5" s="16" t="n">
        <f aca="false">DATE(2019,3,31)</f>
        <v>43555</v>
      </c>
      <c r="E5" s="2" t="s">
        <v>30</v>
      </c>
      <c r="F5" s="18"/>
      <c r="G5" s="17"/>
      <c r="H5" s="17" t="n">
        <f aca="false">IF(AND(DATE($O$3,$P$3,$Q$3)&lt;=$B5, $B5&lt;=DATE($O$4,$P$4,$Q$4)), IF(AND(H6=0, $A5 &gt; 0), 0, 1), IF(AND(H6&lt;&gt;0, $A5 &gt; 0), 1, 0))</f>
        <v>0</v>
      </c>
      <c r="I5" s="17" t="n">
        <f aca="false">IF(OR($H6&lt;&gt;0,$H5=0), 0, 1)</f>
        <v>0</v>
      </c>
      <c r="J5" s="17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1" t="s">
        <v>31</v>
      </c>
      <c r="O5" s="19" t="n">
        <f aca="false">SUM(J:J)</f>
        <v>0</v>
      </c>
    </row>
    <row r="6" customFormat="false" ht="18" hidden="false" customHeight="false" outlineLevel="0" collapsed="false">
      <c r="A6" s="15" t="n">
        <v>-1151971.83</v>
      </c>
      <c r="B6" s="16" t="n">
        <f aca="false">DATE(2019,6,30)</f>
        <v>43646</v>
      </c>
      <c r="E6" s="20" t="s">
        <v>5</v>
      </c>
      <c r="F6" s="21" t="n">
        <v>0.0982560640251888</v>
      </c>
      <c r="G6" s="22"/>
      <c r="H6" s="17" t="n">
        <f aca="false">IF(AND(DATE($O$3,$P$3,$Q$3)&lt;=$B6, $B6&lt;=DATE($O$4,$P$4,$Q$4)), IF(AND(H7=0, $A6 &gt; 0), 0, 1), IF(AND(H7&lt;&gt;0, $A6 &gt; 0), 1, 0))</f>
        <v>0</v>
      </c>
      <c r="I6" s="17" t="n">
        <f aca="false">IF(OR($H7&lt;&gt;0,$H6=0), 0, 1)</f>
        <v>0</v>
      </c>
      <c r="J6" s="17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  <c r="N6" s="16"/>
    </row>
    <row r="7" customFormat="false" ht="18" hidden="false" customHeight="false" outlineLevel="0" collapsed="false">
      <c r="A7" s="15" t="n">
        <v>1151971.83</v>
      </c>
      <c r="B7" s="16" t="n">
        <f aca="false">DATE(2019,6,30)</f>
        <v>43646</v>
      </c>
      <c r="E7" s="20" t="s">
        <v>6</v>
      </c>
      <c r="F7" s="21" t="n">
        <v>0.0982560640251888</v>
      </c>
      <c r="G7" s="22"/>
      <c r="H7" s="17" t="n">
        <f aca="false">IF(AND(DATE($O$3,$P$3,$Q$3)&lt;=$B7, $B7&lt;=DATE($O$4,$P$4,$Q$4)), IF(AND(H8=0, $A7 &gt; 0), 0, 1), IF(AND(H8&lt;&gt;0, $A7 &gt; 0), 1, 0))</f>
        <v>0</v>
      </c>
      <c r="I7" s="17" t="n">
        <f aca="false">IF(OR($H8&lt;&gt;0,$H7=0), 0, 1)</f>
        <v>0</v>
      </c>
      <c r="J7" s="17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2"/>
      <c r="P7" s="2"/>
      <c r="Q7" s="2"/>
    </row>
    <row r="8" customFormat="false" ht="18" hidden="false" customHeight="false" outlineLevel="0" collapsed="false">
      <c r="A8" s="15" t="n">
        <v>-1192472.05</v>
      </c>
      <c r="B8" s="16" t="n">
        <f aca="false">DATE(2019,9,30)</f>
        <v>43738</v>
      </c>
      <c r="E8" s="20" t="s">
        <v>7</v>
      </c>
      <c r="F8" s="21" t="n">
        <v>0.222000283002853</v>
      </c>
      <c r="G8" s="22"/>
      <c r="H8" s="17" t="n">
        <f aca="false">IF(AND(DATE($O$3,$P$3,$Q$3)&lt;=$B8, $B8&lt;=DATE($O$4,$P$4,$Q$4)), IF(AND(H9=0, $A8 &gt; 0), 0, 1), IF(AND(H9&lt;&gt;0, $A8 &gt; 0), 1, 0))</f>
        <v>0</v>
      </c>
      <c r="I8" s="17" t="n">
        <f aca="false">IF(OR($H9&lt;&gt;0,$H8=0), 0, 1)</f>
        <v>0</v>
      </c>
      <c r="J8" s="17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2"/>
    </row>
    <row r="9" customFormat="false" ht="18" hidden="false" customHeight="false" outlineLevel="0" collapsed="false">
      <c r="A9" s="15" t="n">
        <v>1192472.05</v>
      </c>
      <c r="B9" s="16" t="n">
        <f aca="false">DATE(2019,9,30)</f>
        <v>43738</v>
      </c>
      <c r="E9" s="20" t="s">
        <v>8</v>
      </c>
      <c r="F9" s="21" t="n">
        <v>0.115763372182846</v>
      </c>
      <c r="G9" s="22"/>
      <c r="H9" s="17" t="n">
        <f aca="false">IF(AND(DATE($O$3,$P$3,$Q$3)&lt;=$B9, $B9&lt;=DATE($O$4,$P$4,$Q$4)), IF(AND(H10=0, $A9 &gt; 0), 0, 1), IF(AND(H10&lt;&gt;0, $A9 &gt; 0), 1, 0))</f>
        <v>0</v>
      </c>
      <c r="I9" s="17" t="n">
        <f aca="false">IF(OR($H10&lt;&gt;0,$H9=0), 0, 1)</f>
        <v>0</v>
      </c>
      <c r="J9" s="17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8" hidden="false" customHeight="false" outlineLevel="0" collapsed="false">
      <c r="A10" s="15" t="n">
        <v>-1255905.93</v>
      </c>
      <c r="B10" s="16" t="n">
        <f aca="false">DATE(2019,12,31)</f>
        <v>43830</v>
      </c>
      <c r="E10" s="20" t="s">
        <v>9</v>
      </c>
      <c r="F10" s="21" t="n">
        <v>0.145714098215103</v>
      </c>
      <c r="G10" s="22"/>
      <c r="H10" s="17" t="n">
        <f aca="false">IF(AND(DATE($O$3,$P$3,$Q$3)&lt;=$B10, $B10&lt;=DATE($O$4,$P$4,$Q$4)), IF(AND(H11=0, $A10 &gt; 0), 0, 1), IF(AND(H11&lt;&gt;0, $A10 &gt; 0), 1, 0))</f>
        <v>0</v>
      </c>
      <c r="I10" s="17" t="n">
        <f aca="false">IF(OR($H11&lt;&gt;0,$H10=0), 0, 1)</f>
        <v>0</v>
      </c>
      <c r="J10" s="17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8" hidden="false" customHeight="false" outlineLevel="0" collapsed="false">
      <c r="A11" s="15" t="n">
        <v>1255905.93</v>
      </c>
      <c r="B11" s="16" t="n">
        <f aca="false">DATE(2019,12,31)</f>
        <v>43830</v>
      </c>
      <c r="E11" s="20" t="s">
        <v>10</v>
      </c>
      <c r="F11" s="21" t="n">
        <v>0.163814932107925</v>
      </c>
      <c r="G11" s="22"/>
      <c r="H11" s="17" t="n">
        <f aca="false">IF(AND(DATE($O$3,$P$3,$Q$3)&lt;=$B11, $B11&lt;=DATE($O$4,$P$4,$Q$4)), IF(AND(H12=0, $A11 &gt; 0), 0, 1), IF(AND(H12&lt;&gt;0, $A11 &gt; 0), 1, 0))</f>
        <v>0</v>
      </c>
      <c r="I11" s="17" t="n">
        <f aca="false">IF(OR($H12&lt;&gt;0,$H11=0), 0, 1)</f>
        <v>0</v>
      </c>
      <c r="J11" s="17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8" hidden="false" customHeight="false" outlineLevel="0" collapsed="false">
      <c r="A12" s="15" t="n">
        <v>-1070288.82962118</v>
      </c>
      <c r="B12" s="16" t="n">
        <f aca="false">DATE(2020,3,31)</f>
        <v>43921</v>
      </c>
      <c r="E12" s="23" t="s">
        <v>11</v>
      </c>
      <c r="F12" s="21" t="n">
        <v>0.163814932107925</v>
      </c>
      <c r="G12" s="22"/>
      <c r="H12" s="17" t="n">
        <f aca="false">IF(AND(DATE($O$3,$P$3,$Q$3)&lt;=$B12, $B12&lt;=DATE($O$4,$P$4,$Q$4)), IF(AND(H13=0, $A12 &gt; 0), 0, 1), IF(AND(H13&lt;&gt;0, $A12 &gt; 0), 1, 0))</f>
        <v>0</v>
      </c>
      <c r="I12" s="17" t="n">
        <f aca="false">IF(OR($H13&lt;&gt;0,$H12=0), 0, 1)</f>
        <v>0</v>
      </c>
      <c r="J12" s="17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8" hidden="false" customHeight="false" outlineLevel="0" collapsed="false">
      <c r="A13" s="15" t="n">
        <v>1070288.82962118</v>
      </c>
      <c r="B13" s="16" t="n">
        <f aca="false">DATE(2020,3,31)</f>
        <v>43921</v>
      </c>
      <c r="E13" s="20" t="n">
        <v>2019</v>
      </c>
      <c r="F13" s="22" t="n">
        <v>0.255905932188034</v>
      </c>
      <c r="G13" s="22"/>
      <c r="H13" s="17" t="n">
        <f aca="false">IF(AND(DATE($O$3,$P$3,$Q$3)&lt;=$B13, $B13&lt;=DATE($O$4,$P$4,$Q$4)), IF(AND(H14=0, $A13 &gt; 0), 0, 1), IF(AND(H14&lt;&gt;0, $A13 &gt; 0), 1, 0))</f>
        <v>0</v>
      </c>
      <c r="I13" s="17" t="n">
        <f aca="false">IF(OR($H14&lt;&gt;0,$H13=0), 0, 1)</f>
        <v>0</v>
      </c>
      <c r="J13" s="17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8" hidden="false" customHeight="false" outlineLevel="0" collapsed="false">
      <c r="A14" s="15" t="n">
        <v>-1257391.8148768</v>
      </c>
      <c r="B14" s="16" t="n">
        <f aca="false">DATE(2020,6,30)</f>
        <v>44012</v>
      </c>
      <c r="E14" s="20" t="n">
        <v>2020</v>
      </c>
      <c r="F14" s="22" t="n">
        <v>0.183119815587997</v>
      </c>
      <c r="G14" s="22"/>
      <c r="H14" s="17" t="n">
        <f aca="false">IF(AND(DATE($O$3,$P$3,$Q$3)&lt;=$B14, $B14&lt;=DATE($O$4,$P$4,$Q$4)), IF(AND(H15=0, $A14 &gt; 0), 0, 1), IF(AND(H15&lt;&gt;0, $A14 &gt; 0), 1, 0))</f>
        <v>0</v>
      </c>
      <c r="I14" s="17" t="n">
        <f aca="false">IF(OR($H15&lt;&gt;0,$H14=0), 0, 1)</f>
        <v>0</v>
      </c>
      <c r="J14" s="17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8" hidden="false" customHeight="false" outlineLevel="0" collapsed="false">
      <c r="A15" s="15" t="n">
        <v>1257391.8148768</v>
      </c>
      <c r="B15" s="16" t="n">
        <f aca="false">DATE(2020,6,30)</f>
        <v>44012</v>
      </c>
      <c r="E15" s="20" t="n">
        <v>2021</v>
      </c>
      <c r="F15" s="22" t="n">
        <v>0.325868064165115</v>
      </c>
      <c r="G15" s="22"/>
      <c r="H15" s="17" t="n">
        <f aca="false">IF(AND(DATE($O$3,$P$3,$Q$3)&lt;=$B15, $B15&lt;=DATE($O$4,$P$4,$Q$4)), IF(AND(H16=0, $A15 &gt; 0), 0, 1), IF(AND(H16&lt;&gt;0, $A15 &gt; 0), 1, 0))</f>
        <v>0</v>
      </c>
      <c r="I15" s="17" t="n">
        <f aca="false">IF(OR($H16&lt;&gt;0,$H15=0), 0, 1)</f>
        <v>0</v>
      </c>
      <c r="J15" s="17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8" hidden="false" customHeight="false" outlineLevel="0" collapsed="false">
      <c r="A16" s="15" t="n">
        <v>-1349411.62072268</v>
      </c>
      <c r="B16" s="16" t="n">
        <f aca="false">DATE(2020,9,30)</f>
        <v>44104</v>
      </c>
      <c r="E16" s="20" t="n">
        <v>2022</v>
      </c>
      <c r="F16" s="22" t="n">
        <v>-0.124910617247224</v>
      </c>
      <c r="G16" s="22"/>
      <c r="H16" s="17" t="n">
        <f aca="false">IF(AND(DATE($O$3,$P$3,$Q$3)&lt;=$B16, $B16&lt;=DATE($O$4,$P$4,$Q$4)), IF(AND(H17=0, $A16 &gt; 0), 0, 1), IF(AND(H17&lt;&gt;0, $A16 &gt; 0), 1, 0))</f>
        <v>0</v>
      </c>
      <c r="I16" s="17" t="n">
        <f aca="false">IF(OR($H17&lt;&gt;0,$H16=0), 0, 1)</f>
        <v>0</v>
      </c>
      <c r="J16" s="17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8" hidden="false" customHeight="false" outlineLevel="0" collapsed="false">
      <c r="A17" s="15" t="n">
        <v>1349411.62072268</v>
      </c>
      <c r="B17" s="16" t="n">
        <f aca="false">DATE(2020,9,30)</f>
        <v>44104</v>
      </c>
      <c r="E17" s="20" t="n">
        <v>2023</v>
      </c>
      <c r="F17" s="22" t="n">
        <v>0.17107235789299</v>
      </c>
      <c r="G17" s="22"/>
      <c r="H17" s="17" t="n">
        <f aca="false">IF(AND(DATE($O$3,$P$3,$Q$3)&lt;=$B17, $B17&lt;=DATE($O$4,$P$4,$Q$4)), IF(AND(H18=0, $A17 &gt; 0), 0, 1), IF(AND(H18&lt;&gt;0, $A17 &gt; 0), 1, 0))</f>
        <v>0</v>
      </c>
      <c r="I17" s="17" t="n">
        <f aca="false">IF(OR($H18&lt;&gt;0,$H17=0), 0, 1)</f>
        <v>0</v>
      </c>
      <c r="J17" s="17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8" hidden="false" customHeight="false" outlineLevel="0" collapsed="false">
      <c r="A18" s="15" t="n">
        <v>-1486571.89254575</v>
      </c>
      <c r="B18" s="16" t="n">
        <f aca="false">DATE(2020,12,31)</f>
        <v>44196</v>
      </c>
      <c r="E18" s="20" t="n">
        <v>2024</v>
      </c>
      <c r="F18" s="24" t="n">
        <v>0.0396733756330039</v>
      </c>
      <c r="G18" s="22"/>
      <c r="H18" s="17" t="n">
        <f aca="false">IF(AND(DATE($O$3,$P$3,$Q$3)&lt;=$B18, $B18&lt;=DATE($O$4,$P$4,$Q$4)), IF(AND(H19=0, $A18 &gt; 0), 0, 1), IF(AND(H19&lt;&gt;0, $A18 &gt; 0), 1, 0))</f>
        <v>0</v>
      </c>
      <c r="I18" s="17" t="n">
        <f aca="false">IF(OR($H19&lt;&gt;0,$H18=0), 0, 1)</f>
        <v>0</v>
      </c>
      <c r="J18" s="17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8" hidden="false" customHeight="false" outlineLevel="0" collapsed="false">
      <c r="A19" s="15" t="n">
        <v>1486571.89254575</v>
      </c>
      <c r="B19" s="16" t="n">
        <f aca="false">DATE(2020,12,31)</f>
        <v>44196</v>
      </c>
      <c r="D19" s="25"/>
      <c r="E19" s="20" t="n">
        <v>2025</v>
      </c>
      <c r="F19" s="24" t="n">
        <v>0</v>
      </c>
      <c r="G19" s="17"/>
      <c r="H19" s="17" t="n">
        <f aca="false">IF(AND(DATE($O$3,$P$3,$Q$3)&lt;=$B19, $B19&lt;=DATE($O$4,$P$4,$Q$4)), IF(AND(H20=0, $A19 &gt; 0), 0, 1), IF(AND(H20&lt;&gt;0, $A19 &gt; 0), 1, 0))</f>
        <v>0</v>
      </c>
      <c r="I19" s="17" t="n">
        <f aca="false">IF(OR($H20&lt;&gt;0,$H19=0), 0, 1)</f>
        <v>0</v>
      </c>
      <c r="J19" s="17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8" hidden="false" customHeight="false" outlineLevel="0" collapsed="false">
      <c r="A20" s="15" t="n">
        <v>-1596538.34022334</v>
      </c>
      <c r="B20" s="16" t="n">
        <f aca="false">DATE(2021,3,31)</f>
        <v>44286</v>
      </c>
      <c r="E20" s="20" t="n">
        <v>2026</v>
      </c>
      <c r="F20" s="24" t="n">
        <v>0</v>
      </c>
      <c r="G20" s="17"/>
      <c r="H20" s="17" t="n">
        <f aca="false">IF(AND(DATE($O$3,$P$3,$Q$3)&lt;=$B20, $B20&lt;=DATE($O$4,$P$4,$Q$4)), IF(AND(H21=0, $A20 &gt; 0), 0, 1), IF(AND(H21&lt;&gt;0, $A20 &gt; 0), 1, 0))</f>
        <v>0</v>
      </c>
      <c r="I20" s="17" t="n">
        <f aca="false">IF(OR($H21&lt;&gt;0,$H20=0), 0, 1)</f>
        <v>0</v>
      </c>
      <c r="J20" s="17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8" hidden="false" customHeight="false" outlineLevel="0" collapsed="false">
      <c r="A21" s="15" t="n">
        <v>1596538.34022334</v>
      </c>
      <c r="B21" s="16" t="n">
        <f aca="false">DATE(2021,3,31)</f>
        <v>44286</v>
      </c>
      <c r="E21" s="20" t="n">
        <v>2027</v>
      </c>
      <c r="F21" s="24" t="n">
        <v>0</v>
      </c>
      <c r="G21" s="17"/>
      <c r="H21" s="17" t="n">
        <f aca="false">IF(AND(DATE($O$3,$P$3,$Q$3)&lt;=$B21, $B21&lt;=DATE($O$4,$P$4,$Q$4)), IF(AND(H22=0, $A21 &gt; 0), 0, 1), IF(AND(H22&lt;&gt;0, $A21 &gt; 0), 1, 0))</f>
        <v>0</v>
      </c>
      <c r="I21" s="17" t="n">
        <f aca="false">IF(OR($H22&lt;&gt;0,$H21=0), 0, 1)</f>
        <v>0</v>
      </c>
      <c r="J21" s="17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</row>
    <row r="22" customFormat="false" ht="18" hidden="false" customHeight="false" outlineLevel="0" collapsed="false">
      <c r="A22" s="15" t="n">
        <v>-1729758.29129219</v>
      </c>
      <c r="B22" s="16" t="n">
        <f aca="false">DATE(2021,6,30)</f>
        <v>44377</v>
      </c>
      <c r="E22" s="20" t="n">
        <v>2028</v>
      </c>
      <c r="F22" s="24" t="n">
        <v>0</v>
      </c>
      <c r="G22" s="17"/>
      <c r="H22" s="17" t="n">
        <f aca="false">IF(AND(DATE($O$3,$P$3,$Q$3)&lt;=$B22, $B22&lt;=DATE($O$4,$P$4,$Q$4)), IF(AND(H23=0, $A22 &gt; 0), 0, 1), IF(AND(H23&lt;&gt;0, $A22 &gt; 0), 1, 0))</f>
        <v>0</v>
      </c>
      <c r="I22" s="17" t="n">
        <f aca="false">IF(OR($H23&lt;&gt;0,$H22=0), 0, 1)</f>
        <v>0</v>
      </c>
      <c r="J22" s="17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</row>
    <row r="23" customFormat="false" ht="18" hidden="false" customHeight="false" outlineLevel="0" collapsed="false">
      <c r="A23" s="15" t="n">
        <v>1729758.29129219</v>
      </c>
      <c r="B23" s="16" t="n">
        <f aca="false">DATE(2021,6,30)</f>
        <v>44377</v>
      </c>
      <c r="E23" s="20" t="n">
        <v>2029</v>
      </c>
      <c r="F23" s="24" t="n">
        <v>0</v>
      </c>
      <c r="G23" s="17"/>
      <c r="H23" s="17" t="n">
        <f aca="false">IF(AND(DATE($O$3,$P$3,$Q$3)&lt;=$B23, $B23&lt;=DATE($O$4,$P$4,$Q$4)), IF(AND(H24=0, $A23 &gt; 0), 0, 1), IF(AND(H24&lt;&gt;0, $A23 &gt; 0), 1, 0))</f>
        <v>0</v>
      </c>
      <c r="I23" s="17" t="n">
        <f aca="false">IF(OR($H24&lt;&gt;0,$H23=0), 0, 1)</f>
        <v>0</v>
      </c>
      <c r="J23" s="17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</row>
    <row r="24" customFormat="false" ht="18" hidden="false" customHeight="false" outlineLevel="0" collapsed="false">
      <c r="A24" s="15" t="n">
        <v>-1823565.33355762</v>
      </c>
      <c r="B24" s="16" t="n">
        <f aca="false">DATE(2021,9,30)</f>
        <v>44469</v>
      </c>
      <c r="E24" s="20" t="n">
        <v>2030</v>
      </c>
      <c r="F24" s="24" t="n">
        <v>0</v>
      </c>
      <c r="G24" s="17"/>
      <c r="H24" s="17" t="n">
        <f aca="false">IF(AND(DATE($O$3,$P$3,$Q$3)&lt;=$B24, $B24&lt;=DATE($O$4,$P$4,$Q$4)), IF(AND(H25=0, $A24 &gt; 0), 0, 1), IF(AND(H25&lt;&gt;0, $A24 &gt; 0), 1, 0))</f>
        <v>0</v>
      </c>
      <c r="I24" s="17" t="n">
        <f aca="false">IF(OR($H25&lt;&gt;0,$H24=0), 0, 1)</f>
        <v>0</v>
      </c>
      <c r="J24" s="17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</row>
    <row r="25" customFormat="false" ht="18" hidden="false" customHeight="false" outlineLevel="0" collapsed="false">
      <c r="A25" s="15" t="n">
        <v>1823565.33355762</v>
      </c>
      <c r="B25" s="16" t="n">
        <f aca="false">DATE(2021,9,30)</f>
        <v>44469</v>
      </c>
      <c r="E25" s="20" t="n">
        <v>2031</v>
      </c>
      <c r="F25" s="24" t="n">
        <v>0</v>
      </c>
      <c r="G25" s="17"/>
      <c r="H25" s="17" t="n">
        <f aca="false">IF(AND(DATE($O$3,$P$3,$Q$3)&lt;=$B25, $B25&lt;=DATE($O$4,$P$4,$Q$4)), IF(AND(H26=0, $A25 &gt; 0), 0, 1), IF(AND(H26&lt;&gt;0, $A25 &gt; 0), 1, 0))</f>
        <v>0</v>
      </c>
      <c r="I25" s="17" t="n">
        <f aca="false">IF(OR($H26&lt;&gt;0,$H25=0), 0, 1)</f>
        <v>0</v>
      </c>
      <c r="J25" s="17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</row>
    <row r="26" customFormat="false" ht="18" hidden="false" customHeight="false" outlineLevel="0" collapsed="false">
      <c r="A26" s="15" t="n">
        <v>-1970998.205802</v>
      </c>
      <c r="B26" s="16" t="n">
        <f aca="false">DATE(2021,12,31)</f>
        <v>44561</v>
      </c>
      <c r="G26" s="17"/>
      <c r="H26" s="17" t="n">
        <f aca="false">IF(AND(DATE($O$3,$P$3,$Q$3)&lt;=$B26, $B26&lt;=DATE($O$4,$P$4,$Q$4)), IF(AND(H27=0, $A26 &gt; 0), 0, 1), IF(AND(H27&lt;&gt;0, $A26 &gt; 0), 1, 0))</f>
        <v>0</v>
      </c>
      <c r="I26" s="17" t="n">
        <f aca="false">IF(OR($H27&lt;&gt;0,$H26=0), 0, 1)</f>
        <v>0</v>
      </c>
      <c r="J26" s="17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</row>
    <row r="27" customFormat="false" ht="18" hidden="false" customHeight="false" outlineLevel="0" collapsed="false">
      <c r="A27" s="15" t="n">
        <v>1970998.205802</v>
      </c>
      <c r="B27" s="16" t="n">
        <f aca="false">DATE(2021,12,31)</f>
        <v>44561</v>
      </c>
      <c r="G27" s="17"/>
      <c r="H27" s="17" t="n">
        <f aca="false">IF(AND(DATE($O$3,$P$3,$Q$3)&lt;=$B27, $B27&lt;=DATE($O$4,$P$4,$Q$4)), IF(AND(H28=0, $A27 &gt; 0), 0, 1), IF(AND(H28&lt;&gt;0, $A27 &gt; 0), 1, 0))</f>
        <v>0</v>
      </c>
      <c r="I27" s="17" t="n">
        <f aca="false">IF(OR($H28&lt;&gt;0,$H27=0), 0, 1)</f>
        <v>0</v>
      </c>
      <c r="J27" s="17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</row>
    <row r="28" customFormat="false" ht="18" hidden="false" customHeight="false" outlineLevel="0" collapsed="false">
      <c r="A28" s="15" t="n">
        <v>-1877898.72889612</v>
      </c>
      <c r="B28" s="16" t="n">
        <f aca="false">DATE(2022,3,31)</f>
        <v>44651</v>
      </c>
      <c r="G28" s="17"/>
      <c r="H28" s="17" t="n">
        <f aca="false">IF(AND(DATE($O$3,$P$3,$Q$3)&lt;=$B28, $B28&lt;=DATE($O$4,$P$4,$Q$4)), IF(AND(H29=0, $A28 &gt; 0), 0, 1), IF(AND(H29&lt;&gt;0, $A28 &gt; 0), 1, 0))</f>
        <v>0</v>
      </c>
      <c r="I28" s="17" t="n">
        <f aca="false">IF(OR($H29&lt;&gt;0,$H28=0), 0, 1)</f>
        <v>0</v>
      </c>
      <c r="J28" s="17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</row>
    <row r="29" customFormat="false" ht="18" hidden="false" customHeight="false" outlineLevel="0" collapsed="false">
      <c r="A29" s="15" t="n">
        <v>1877898.72889612</v>
      </c>
      <c r="B29" s="16" t="n">
        <f aca="false">DATE(2022,3,31)</f>
        <v>44651</v>
      </c>
      <c r="D29" s="17"/>
      <c r="E29" s="17"/>
      <c r="F29" s="26"/>
      <c r="G29" s="17"/>
      <c r="H29" s="17" t="n">
        <f aca="false">IF(AND(DATE($O$3,$P$3,$Q$3)&lt;=$B29, $B29&lt;=DATE($O$4,$P$4,$Q$4)), IF(AND(H30=0, $A29 &gt; 0), 0, 1), IF(AND(H30&lt;&gt;0, $A29 &gt; 0), 1, 0))</f>
        <v>0</v>
      </c>
      <c r="I29" s="17" t="n">
        <f aca="false">IF(OR($H30&lt;&gt;0,$H29=0), 0, 1)</f>
        <v>0</v>
      </c>
      <c r="J29" s="17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  <c r="Q29" s="27"/>
    </row>
    <row r="30" customFormat="false" ht="18" hidden="false" customHeight="false" outlineLevel="0" collapsed="false">
      <c r="A30" s="15" t="n">
        <v>-1598202.39364758</v>
      </c>
      <c r="B30" s="16" t="n">
        <f aca="false">DATE(2022,6,30)</f>
        <v>44742</v>
      </c>
      <c r="D30" s="17"/>
      <c r="E30" s="17"/>
      <c r="F30" s="26"/>
      <c r="G30" s="17"/>
      <c r="H30" s="17" t="n">
        <f aca="false">IF(AND(DATE($O$3,$P$3,$Q$3)&lt;=$B30, $B30&lt;=DATE($O$4,$P$4,$Q$4)), IF(AND(H31=0, $A30 &gt; 0), 0, 1), IF(AND(H31&lt;&gt;0, $A30 &gt; 0), 1, 0))</f>
        <v>0</v>
      </c>
      <c r="I30" s="17" t="n">
        <f aca="false">IF(OR($H31&lt;&gt;0,$H30=0), 0, 1)</f>
        <v>0</v>
      </c>
      <c r="J30" s="17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8" hidden="false" customHeight="false" outlineLevel="0" collapsed="false">
      <c r="A31" s="15" t="n">
        <v>1598202.39364758</v>
      </c>
      <c r="B31" s="16" t="n">
        <f aca="false">DATE(2022,6,30)</f>
        <v>44742</v>
      </c>
      <c r="H31" s="17" t="n">
        <f aca="false">IF(AND(DATE($O$3,$P$3,$Q$3)&lt;=$B31, $B31&lt;=DATE($O$4,$P$4,$Q$4)), IF(AND(H32=0, $A31 &gt; 0), 0, 1), IF(AND(H32&lt;&gt;0, $A31 &gt; 0), 1, 0))</f>
        <v>0</v>
      </c>
      <c r="I31" s="17" t="n">
        <f aca="false">IF(OR($H32&lt;&gt;0,$H31=0), 0, 1)</f>
        <v>0</v>
      </c>
      <c r="J31" s="17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8" hidden="false" customHeight="false" outlineLevel="0" collapsed="false">
      <c r="A32" s="15" t="n">
        <v>-1656915.01782113</v>
      </c>
      <c r="B32" s="16" t="n">
        <f aca="false">DATE(2022,9,30)</f>
        <v>44834</v>
      </c>
      <c r="C32" s="27"/>
      <c r="H32" s="17" t="n">
        <f aca="false">IF(AND(DATE($O$3,$P$3,$Q$3)&lt;=$B32, $B32&lt;=DATE($O$4,$P$4,$Q$4)), IF(AND(H33=0, $A32 &gt; 0), 0, 1), IF(AND(H33&lt;&gt;0, $A32 &gt; 0), 1, 0))</f>
        <v>0</v>
      </c>
      <c r="I32" s="17" t="n">
        <f aca="false">IF(OR($H33&lt;&gt;0,$H32=0), 0, 1)</f>
        <v>0</v>
      </c>
      <c r="J32" s="17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8" hidden="false" customHeight="false" outlineLevel="0" collapsed="false">
      <c r="A33" s="15" t="n">
        <v>1656915.01782113</v>
      </c>
      <c r="B33" s="16" t="n">
        <f aca="false">DATE(2022,9,30)</f>
        <v>44834</v>
      </c>
      <c r="E33" s="27"/>
      <c r="H33" s="17" t="n">
        <f aca="false">IF(AND(DATE($O$3,$P$3,$Q$3)&lt;=$B33, $B33&lt;=DATE($O$4,$P$4,$Q$4)), IF(AND(H34=0, $A33 &gt; 0), 0, 1), IF(AND(H34&lt;&gt;0, $A33 &gt; 0), 1, 0))</f>
        <v>0</v>
      </c>
      <c r="I33" s="17" t="n">
        <f aca="false">IF(OR($H34&lt;&gt;0,$H33=0), 0, 1)</f>
        <v>0</v>
      </c>
      <c r="J33" s="17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8" hidden="false" customHeight="false" outlineLevel="0" collapsed="false">
      <c r="A34" s="15" t="n">
        <v>-1724799.60802293</v>
      </c>
      <c r="B34" s="16" t="n">
        <f aca="false">DATE(2022,12,31)</f>
        <v>44926</v>
      </c>
      <c r="E34" s="25"/>
      <c r="H34" s="17" t="n">
        <f aca="false">IF(AND(DATE($O$3,$P$3,$Q$3)&lt;=$B34, $B34&lt;=DATE($O$4,$P$4,$Q$4)), IF(AND(H35=0, $A34 &gt; 0), 0, 1), IF(AND(H35&lt;&gt;0, $A34 &gt; 0), 1, 0))</f>
        <v>0</v>
      </c>
      <c r="I34" s="17" t="n">
        <f aca="false">IF(OR($H35&lt;&gt;0,$H34=0), 0, 1)</f>
        <v>0</v>
      </c>
      <c r="J34" s="17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8" hidden="false" customHeight="false" outlineLevel="0" collapsed="false">
      <c r="A35" s="15" t="n">
        <v>1724799.60802293</v>
      </c>
      <c r="B35" s="16" t="n">
        <f aca="false">DATE(2022,12,31)</f>
        <v>44926</v>
      </c>
      <c r="H35" s="17" t="n">
        <f aca="false">IF(AND(DATE($O$3,$P$3,$Q$3)&lt;=$B35, $B35&lt;=DATE($O$4,$P$4,$Q$4)), IF(AND(H36=0, $A35 &gt; 0), 0, 1), IF(AND(H36&lt;&gt;0, $A35 &gt; 0), 1, 0))</f>
        <v>0</v>
      </c>
      <c r="I35" s="17" t="n">
        <f aca="false">IF(OR($H36&lt;&gt;0,$H35=0), 0, 1)</f>
        <v>0</v>
      </c>
      <c r="J35" s="17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8" hidden="false" customHeight="false" outlineLevel="0" collapsed="false">
      <c r="A36" s="15" t="n">
        <v>-1814329.3430901</v>
      </c>
      <c r="B36" s="16" t="n">
        <f aca="false">DATE(2023,3,31)</f>
        <v>45016</v>
      </c>
      <c r="H36" s="17" t="n">
        <f aca="false">IF(AND(DATE($O$3,$P$3,$Q$3)&lt;=$B36, $B36&lt;=DATE($O$4,$P$4,$Q$4)), IF(AND(H37=0, $A36 &gt; 0), 0, 1), IF(AND(H37&lt;&gt;0, $A36 &gt; 0), 1, 0))</f>
        <v>0</v>
      </c>
      <c r="I36" s="17" t="n">
        <f aca="false">IF(OR($H37&lt;&gt;0,$H36=0), 0, 1)</f>
        <v>0</v>
      </c>
      <c r="J36" s="17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8" hidden="false" customHeight="false" outlineLevel="0" collapsed="false">
      <c r="A37" s="15" t="n">
        <v>1814329.3430901</v>
      </c>
      <c r="B37" s="16" t="n">
        <f aca="false">DATE(2023,3,31)</f>
        <v>45016</v>
      </c>
      <c r="H37" s="17" t="n">
        <f aca="false">IF(AND(DATE($O$3,$P$3,$Q$3)&lt;=$B37, $B37&lt;=DATE($O$4,$P$4,$Q$4)), IF(AND(H38=0, $A37 &gt; 0), 0, 1), IF(AND(H38&lt;&gt;0, $A37 &gt; 0), 1, 0))</f>
        <v>0</v>
      </c>
      <c r="I37" s="17" t="n">
        <f aca="false">IF(OR($H38&lt;&gt;0,$H37=0), 0, 1)</f>
        <v>0</v>
      </c>
      <c r="J37" s="17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</v>
      </c>
    </row>
    <row r="38" customFormat="false" ht="18" hidden="false" customHeight="false" outlineLevel="0" collapsed="false">
      <c r="A38" s="15" t="n">
        <v>-1878131.16155072</v>
      </c>
      <c r="B38" s="16" t="n">
        <f aca="false">DATE(2023,6,30)</f>
        <v>45107</v>
      </c>
      <c r="H38" s="17" t="n">
        <f aca="false">IF(AND(DATE($O$3,$P$3,$Q$3)&lt;=$B38, $B38&lt;=DATE($O$4,$P$4,$Q$4)), IF(AND(H39=0, $A38 &gt; 0), 0, 1), IF(AND(H39&lt;&gt;0, $A38 &gt; 0), 1, 0))</f>
        <v>0</v>
      </c>
      <c r="I38" s="17" t="n">
        <f aca="false">IF(OR($H39&lt;&gt;0,$H38=0), 0, 1)</f>
        <v>0</v>
      </c>
      <c r="J38" s="17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8" hidden="false" customHeight="false" outlineLevel="0" collapsed="false">
      <c r="A39" s="15" t="n">
        <v>1878131.16155072</v>
      </c>
      <c r="B39" s="16" t="n">
        <f aca="false">DATE(2023,6,30)</f>
        <v>45107</v>
      </c>
      <c r="H39" s="17" t="n">
        <f aca="false">IF(AND(DATE($O$3,$P$3,$Q$3)&lt;=$B39, $B39&lt;=DATE($O$4,$P$4,$Q$4)), IF(AND(H40=0, $A39 &gt; 0), 0, 1), IF(AND(H40&lt;&gt;0, $A39 &gt; 0), 1, 0))</f>
        <v>0</v>
      </c>
      <c r="I39" s="17" t="n">
        <f aca="false">IF(OR($H40&lt;&gt;0,$H39=0), 0, 1)</f>
        <v>0</v>
      </c>
      <c r="J39" s="17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8" hidden="false" customHeight="false" outlineLevel="0" collapsed="false">
      <c r="A40" s="15" t="n">
        <v>-1821126.41688815</v>
      </c>
      <c r="B40" s="16" t="n">
        <f aca="false">DATE(2023,9,30)</f>
        <v>45199</v>
      </c>
      <c r="H40" s="17" t="n">
        <f aca="false">IF(AND(DATE($O$3,$P$3,$Q$3)&lt;=$B40, $B40&lt;=DATE($O$4,$P$4,$Q$4)), IF(AND(H41=0, $A40 &gt; 0), 0, 1), IF(AND(H41&lt;&gt;0, $A40 &gt; 0), 1, 0))</f>
        <v>0</v>
      </c>
      <c r="I40" s="17" t="n">
        <f aca="false">IF(OR($H41&lt;&gt;0,$H40=0), 0, 1)</f>
        <v>0</v>
      </c>
      <c r="J40" s="17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8" hidden="false" customHeight="false" outlineLevel="0" collapsed="false">
      <c r="A41" s="15" t="n">
        <v>1821126.41688815</v>
      </c>
      <c r="B41" s="16" t="n">
        <f aca="false">DATE(2023,9,30)</f>
        <v>45199</v>
      </c>
      <c r="H41" s="17" t="n">
        <f aca="false">IF(AND(DATE($O$3,$P$3,$Q$3)&lt;=$B41, $B41&lt;=DATE($O$4,$P$4,$Q$4)), IF(AND(H42=0, $A41 &gt; 0), 0, 1), IF(AND(H42&lt;&gt;0, $A41 &gt; 0), 1, 0))</f>
        <v>0</v>
      </c>
      <c r="I41" s="17" t="n">
        <f aca="false">IF(OR($H42&lt;&gt;0,$H41=0), 0, 1)</f>
        <v>0</v>
      </c>
      <c r="J41" s="17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8" hidden="false" customHeight="false" outlineLevel="0" collapsed="false">
      <c r="A42" s="15" t="n">
        <v>-2019865.13373583</v>
      </c>
      <c r="B42" s="16" t="n">
        <f aca="false">DATE(2023,12,31)</f>
        <v>45291</v>
      </c>
      <c r="H42" s="17" t="n">
        <f aca="false">IF(AND(DATE($O$3,$P$3,$Q$3)&lt;=$B42, $B42&lt;=DATE($O$4,$P$4,$Q$4)), IF(AND(H43=0, $A42 &gt; 0), 0, 1), IF(AND(H43&lt;&gt;0, $A42 &gt; 0), 1, 0))</f>
        <v>0</v>
      </c>
      <c r="I42" s="17" t="n">
        <f aca="false">IF(OR($H43&lt;&gt;0,$H42=0), 0, 1)</f>
        <v>0</v>
      </c>
      <c r="J42" s="17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8" hidden="false" customHeight="false" outlineLevel="0" collapsed="false">
      <c r="A43" s="15" t="n">
        <v>2019865.13373583</v>
      </c>
      <c r="B43" s="16" t="n">
        <f aca="false">DATE(2023,12,31)</f>
        <v>45291</v>
      </c>
      <c r="H43" s="17" t="n">
        <f aca="false">IF(AND(DATE($O$3,$P$3,$Q$3)&lt;=$B43, $B43&lt;=DATE($O$4,$P$4,$Q$4)), IF(AND(H44=0, $A43 &gt; 0), 0, 1), IF(AND(H44&lt;&gt;0, $A43 &gt; 0), 1, 0))</f>
        <v>0</v>
      </c>
      <c r="I43" s="17" t="n">
        <f aca="false">IF(OR($H44&lt;&gt;0,$H43=0), 0, 1)</f>
        <v>0</v>
      </c>
      <c r="J43" s="17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8" hidden="false" customHeight="false" outlineLevel="0" collapsed="false">
      <c r="A44" s="28" t="n">
        <v>-2218329.13175294</v>
      </c>
      <c r="B44" s="16" t="n">
        <f aca="false">DATE(2024,3,31)</f>
        <v>45382</v>
      </c>
      <c r="H44" s="17" t="n">
        <f aca="false">IF(AND(DATE($O$3,$P$3,$Q$3)&lt;=$B44, $B44&lt;=DATE($O$4,$P$4,$Q$4)), IF(AND(H45=0, $A44 &gt; 0), 0, 1), IF(AND(H45&lt;&gt;0, $A44 &gt; 0), 1, 0))</f>
        <v>0</v>
      </c>
      <c r="I44" s="17" t="n">
        <f aca="false">IF(OR($H45&lt;&gt;0,$H44=0), 0, 1)</f>
        <v>0</v>
      </c>
      <c r="J44" s="17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  <row r="45" customFormat="false" ht="18" hidden="false" customHeight="false" outlineLevel="0" collapsed="false">
      <c r="A45" s="29"/>
      <c r="B45" s="16"/>
      <c r="H45" s="17"/>
      <c r="I45" s="17"/>
      <c r="J45" s="17"/>
    </row>
    <row r="46" customFormat="false" ht="18" hidden="false" customHeight="false" outlineLevel="0" collapsed="false">
      <c r="A46" s="29"/>
      <c r="B46" s="16"/>
      <c r="H46" s="17"/>
      <c r="I46" s="17"/>
      <c r="J46" s="17"/>
    </row>
    <row r="47" customFormat="false" ht="16.5" hidden="false" customHeight="false" outlineLevel="0" collapsed="false">
      <c r="A47" s="29"/>
      <c r="B47" s="16"/>
    </row>
    <row r="48" customFormat="false" ht="16.5" hidden="false" customHeight="false" outlineLevel="0" collapsed="false">
      <c r="A48" s="29"/>
    </row>
    <row r="49" customFormat="false" ht="16.5" hidden="false" customHeight="false" outlineLevel="0" collapsed="false">
      <c r="A49" s="29"/>
    </row>
    <row r="50" customFormat="false" ht="16.5" hidden="false" customHeight="false" outlineLevel="0" collapsed="false">
      <c r="A50" s="29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8"/>
  <sheetViews>
    <sheetView showFormulas="false" showGridLines="true" showRowColHeaders="true" showZeros="true" rightToLeft="false" tabSelected="false" showOutlineSymbols="true" defaultGridColor="true" view="normal" topLeftCell="A9" colorId="64" zoomScale="65" zoomScaleNormal="65" zoomScalePageLayoutView="100" workbookViewId="0">
      <selection pane="topLeft" activeCell="F14" activeCellId="0" sqref="F14"/>
    </sheetView>
  </sheetViews>
  <sheetFormatPr defaultColWidth="9.1484375" defaultRowHeight="16.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6.71"/>
    <col collapsed="false" customWidth="true" hidden="false" outlineLevel="0" max="3" min="3" style="1" width="18.71"/>
    <col collapsed="false" customWidth="true" hidden="false" outlineLevel="0" max="4" min="4" style="1" width="10.71"/>
    <col collapsed="false" customWidth="true" hidden="false" outlineLevel="0" max="5" min="5" style="1" width="14.71"/>
    <col collapsed="false" customWidth="true" hidden="false" outlineLevel="0" max="6" min="6" style="11" width="23.57"/>
    <col collapsed="false" customWidth="false" hidden="false" outlineLevel="0" max="7" min="7" style="1" width="9.14"/>
    <col collapsed="false" customWidth="true" hidden="false" outlineLevel="0" max="8" min="8" style="1" width="16.57"/>
    <col collapsed="false" customWidth="true" hidden="false" outlineLevel="0" max="9" min="9" style="1" width="14.71"/>
    <col collapsed="false" customWidth="true" hidden="false" outlineLevel="0" max="10" min="10" style="1" width="13.71"/>
    <col collapsed="false" customWidth="false" hidden="false" outlineLevel="0" max="16384" min="11" style="1" width="9.14"/>
  </cols>
  <sheetData>
    <row r="1" customFormat="false" ht="16.5" hidden="false" customHeight="false" outlineLevel="0" collapsed="false">
      <c r="A1" s="12" t="s">
        <v>32</v>
      </c>
      <c r="B1" s="13" t="s">
        <v>33</v>
      </c>
      <c r="C1" s="13"/>
      <c r="D1" s="14"/>
      <c r="E1" s="14"/>
    </row>
    <row r="2" customFormat="false" ht="16.5" hidden="false" customHeight="false" outlineLevel="0" collapsed="false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customFormat="false" ht="18" hidden="false" customHeight="false" outlineLevel="0" collapsed="false">
      <c r="A3" s="15" t="n">
        <v>1000000</v>
      </c>
      <c r="B3" s="16" t="n">
        <f aca="false">DATE(2018,12,31)</f>
        <v>43465</v>
      </c>
      <c r="C3" s="1" t="s">
        <v>27</v>
      </c>
      <c r="G3" s="17"/>
      <c r="H3" s="17" t="n">
        <f aca="false">IF(AND(DATE($O$3,$P$3,$Q$3)&lt;=$B3, $B3&lt;=DATE($O$4,$P$4,$Q$4)), IF(AND(H4=0, $A3 &gt; 0), 0, 1), IF(AND(H4&lt;&gt;0, $A3 &gt; 0), 1, 0))</f>
        <v>0</v>
      </c>
      <c r="I3" s="17" t="n">
        <f aca="false">IF(OR($H4&lt;&gt;0,$H3=0), 0, 1)</f>
        <v>0</v>
      </c>
      <c r="J3" s="17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 t="n">
        <f aca="false">HUB!G40</f>
        <v>2031</v>
      </c>
      <c r="P3" s="1" t="n">
        <f aca="false">HUB!H40</f>
        <v>1</v>
      </c>
      <c r="Q3" s="1" t="n">
        <f aca="false">HUB!I40</f>
        <v>1</v>
      </c>
    </row>
    <row r="4" customFormat="false" ht="18" hidden="false" customHeight="false" outlineLevel="0" collapsed="false">
      <c r="A4" s="15" t="n">
        <v>-1128110.66</v>
      </c>
      <c r="B4" s="16" t="n">
        <f aca="false">DATE(2019,3,31)</f>
        <v>43555</v>
      </c>
      <c r="G4" s="17"/>
      <c r="H4" s="17" t="n">
        <f aca="false">IF(AND(DATE($O$3,$P$3,$Q$3)&lt;=$B4, $B4&lt;=DATE($O$4,$P$4,$Q$4)), IF(AND(H5=0, $A4 &gt; 0), 0, 1), IF(AND(H5&lt;&gt;0, $A4 &gt; 0), 1, 0))</f>
        <v>0</v>
      </c>
      <c r="I4" s="17" t="n">
        <f aca="false">IF(OR($H5&lt;&gt;0,$H4=0), 0, 1)</f>
        <v>0</v>
      </c>
      <c r="J4" s="17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1" t="s">
        <v>29</v>
      </c>
      <c r="O4" s="1" t="n">
        <f aca="false">HUB!G41</f>
        <v>2031</v>
      </c>
      <c r="P4" s="1" t="n">
        <f aca="false">HUB!H41</f>
        <v>12</v>
      </c>
      <c r="Q4" s="1" t="n">
        <f aca="false">HUB!I41</f>
        <v>31</v>
      </c>
    </row>
    <row r="5" customFormat="false" ht="18" hidden="false" customHeight="false" outlineLevel="0" collapsed="false">
      <c r="A5" s="15" t="n">
        <v>1128110.6596362</v>
      </c>
      <c r="B5" s="16" t="n">
        <f aca="false">DATE(2019,3,31)</f>
        <v>43555</v>
      </c>
      <c r="E5" s="2" t="s">
        <v>30</v>
      </c>
      <c r="F5" s="18"/>
      <c r="G5" s="17"/>
      <c r="H5" s="17" t="n">
        <f aca="false">IF(AND(DATE($O$3,$P$3,$Q$3)&lt;=$B5, $B5&lt;=DATE($O$4,$P$4,$Q$4)), IF(AND(H6=0, $A5 &gt; 0), 0, 1), IF(AND(H6&lt;&gt;0, $A5 &gt; 0), 1, 0))</f>
        <v>0</v>
      </c>
      <c r="I5" s="17" t="n">
        <f aca="false">IF(OR($H6&lt;&gt;0,$H5=0), 0, 1)</f>
        <v>0</v>
      </c>
      <c r="J5" s="17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1" t="s">
        <v>31</v>
      </c>
      <c r="O5" s="19" t="n">
        <f aca="false">SUM(J:J)</f>
        <v>0</v>
      </c>
    </row>
    <row r="6" customFormat="false" ht="18" hidden="false" customHeight="false" outlineLevel="0" collapsed="false">
      <c r="A6" s="15" t="n">
        <v>-1153231.67</v>
      </c>
      <c r="B6" s="16" t="n">
        <f aca="false">DATE(2019,6,30)</f>
        <v>43646</v>
      </c>
      <c r="E6" s="20" t="s">
        <v>5</v>
      </c>
      <c r="F6" s="21" t="n">
        <v>0.0674893748184791</v>
      </c>
      <c r="G6" s="22"/>
      <c r="H6" s="17" t="n">
        <f aca="false">IF(AND(DATE($O$3,$P$3,$Q$3)&lt;=$B6, $B6&lt;=DATE($O$4,$P$4,$Q$4)), IF(AND(H7=0, $A6 &gt; 0), 0, 1), IF(AND(H7&lt;&gt;0, $A6 &gt; 0), 1, 0))</f>
        <v>0</v>
      </c>
      <c r="I6" s="17" t="n">
        <f aca="false">IF(OR($H7&lt;&gt;0,$H6=0), 0, 1)</f>
        <v>0</v>
      </c>
      <c r="J6" s="17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</row>
    <row r="7" customFormat="false" ht="18" hidden="false" customHeight="false" outlineLevel="0" collapsed="false">
      <c r="A7" s="15" t="n">
        <v>1153231.67</v>
      </c>
      <c r="B7" s="16" t="n">
        <f aca="false">DATE(2019,6,30)</f>
        <v>43646</v>
      </c>
      <c r="E7" s="20" t="s">
        <v>6</v>
      </c>
      <c r="F7" s="21" t="n">
        <v>0.0674893748184791</v>
      </c>
      <c r="G7" s="22"/>
      <c r="H7" s="17" t="n">
        <f aca="false">IF(AND(DATE($O$3,$P$3,$Q$3)&lt;=$B7, $B7&lt;=DATE($O$4,$P$4,$Q$4)), IF(AND(H8=0, $A7 &gt; 0), 0, 1), IF(AND(H8&lt;&gt;0, $A7 &gt; 0), 1, 0))</f>
        <v>0</v>
      </c>
      <c r="I7" s="17" t="n">
        <f aca="false">IF(OR($H8&lt;&gt;0,$H7=0), 0, 1)</f>
        <v>0</v>
      </c>
      <c r="J7" s="17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2"/>
      <c r="P7" s="2"/>
      <c r="Q7" s="2"/>
    </row>
    <row r="8" customFormat="false" ht="18" hidden="false" customHeight="false" outlineLevel="0" collapsed="false">
      <c r="A8" s="15" t="n">
        <v>-1202260.62359174</v>
      </c>
      <c r="B8" s="16" t="n">
        <f aca="false">DATE(2019,9,30)</f>
        <v>43738</v>
      </c>
      <c r="E8" s="20" t="s">
        <v>7</v>
      </c>
      <c r="F8" s="21" t="n">
        <v>0.160087877511978</v>
      </c>
      <c r="G8" s="22"/>
      <c r="H8" s="17" t="n">
        <f aca="false">IF(AND(DATE($O$3,$P$3,$Q$3)&lt;=$B8, $B8&lt;=DATE($O$4,$P$4,$Q$4)), IF(AND(H9=0, $A8 &gt; 0), 0, 1), IF(AND(H9&lt;&gt;0, $A8 &gt; 0), 1, 0))</f>
        <v>0</v>
      </c>
      <c r="I8" s="17" t="n">
        <f aca="false">IF(OR($H9&lt;&gt;0,$H8=0), 0, 1)</f>
        <v>0</v>
      </c>
      <c r="J8" s="17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2"/>
    </row>
    <row r="9" customFormat="false" ht="18" hidden="false" customHeight="false" outlineLevel="0" collapsed="false">
      <c r="A9" s="15" t="n">
        <v>1202260.62359174</v>
      </c>
      <c r="B9" s="16" t="n">
        <f aca="false">DATE(2019,9,30)</f>
        <v>43738</v>
      </c>
      <c r="E9" s="20" t="s">
        <v>8</v>
      </c>
      <c r="F9" s="21" t="n">
        <v>0.0907073825597763</v>
      </c>
      <c r="G9" s="22"/>
      <c r="H9" s="17" t="n">
        <f aca="false">IF(AND(DATE($O$3,$P$3,$Q$3)&lt;=$B9, $B9&lt;=DATE($O$4,$P$4,$Q$4)), IF(AND(H10=0, $A9 &gt; 0), 0, 1), IF(AND(H10&lt;&gt;0, $A9 &gt; 0), 1, 0))</f>
        <v>0</v>
      </c>
      <c r="I9" s="17" t="n">
        <f aca="false">IF(OR($H10&lt;&gt;0,$H9=0), 0, 1)</f>
        <v>0</v>
      </c>
      <c r="J9" s="17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8" hidden="false" customHeight="false" outlineLevel="0" collapsed="false">
      <c r="A10" s="15" t="n">
        <v>-1241777.475196</v>
      </c>
      <c r="B10" s="16" t="n">
        <f aca="false">DATE(2019,12,31)</f>
        <v>43830</v>
      </c>
      <c r="E10" s="20" t="s">
        <v>9</v>
      </c>
      <c r="F10" s="21" t="n">
        <v>0.110648959875107</v>
      </c>
      <c r="G10" s="22"/>
      <c r="H10" s="17" t="n">
        <f aca="false">IF(AND(DATE($O$3,$P$3,$Q$3)&lt;=$B10, $B10&lt;=DATE($O$4,$P$4,$Q$4)), IF(AND(H11=0, $A10 &gt; 0), 0, 1), IF(AND(H11&lt;&gt;0, $A10 &gt; 0), 1, 0))</f>
        <v>0</v>
      </c>
      <c r="I10" s="17" t="n">
        <f aca="false">IF(OR($H11&lt;&gt;0,$H10=0), 0, 1)</f>
        <v>0</v>
      </c>
      <c r="J10" s="17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8" hidden="false" customHeight="false" outlineLevel="0" collapsed="false">
      <c r="A11" s="15" t="n">
        <v>1241777.475196</v>
      </c>
      <c r="B11" s="16" t="n">
        <f aca="false">DATE(2019,12,31)</f>
        <v>43830</v>
      </c>
      <c r="E11" s="20" t="s">
        <v>10</v>
      </c>
      <c r="F11" s="21" t="n">
        <v>0.130849760770798</v>
      </c>
      <c r="G11" s="22"/>
      <c r="H11" s="17" t="n">
        <f aca="false">IF(AND(DATE($O$3,$P$3,$Q$3)&lt;=$B11, $B11&lt;=DATE($O$4,$P$4,$Q$4)), IF(AND(H12=0, $A11 &gt; 0), 0, 1), IF(AND(H12&lt;&gt;0, $A11 &gt; 0), 1, 0))</f>
        <v>0</v>
      </c>
      <c r="I11" s="17" t="n">
        <f aca="false">IF(OR($H12&lt;&gt;0,$H11=0), 0, 1)</f>
        <v>0</v>
      </c>
      <c r="J11" s="17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8" hidden="false" customHeight="false" outlineLevel="0" collapsed="false">
      <c r="A12" s="15" t="n">
        <v>-1068530.45750144</v>
      </c>
      <c r="B12" s="16" t="n">
        <f aca="false">DATE(2020,3,31)</f>
        <v>43921</v>
      </c>
      <c r="E12" s="20" t="s">
        <v>11</v>
      </c>
      <c r="F12" s="21" t="n">
        <v>0.130849760770798</v>
      </c>
      <c r="G12" s="22"/>
      <c r="H12" s="17" t="n">
        <f aca="false">IF(AND(DATE($O$3,$P$3,$Q$3)&lt;=$B12, $B12&lt;=DATE($O$4,$P$4,$Q$4)), IF(AND(H13=0, $A12 &gt; 0), 0, 1), IF(AND(H13&lt;&gt;0, $A12 &gt; 0), 1, 0))</f>
        <v>0</v>
      </c>
      <c r="I12" s="17" t="n">
        <f aca="false">IF(OR($H13&lt;&gt;0,$H12=0), 0, 1)</f>
        <v>0</v>
      </c>
      <c r="J12" s="17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8" hidden="false" customHeight="false" outlineLevel="0" collapsed="false">
      <c r="A13" s="15" t="n">
        <v>1068530.45750144</v>
      </c>
      <c r="B13" s="16" t="n">
        <f aca="false">DATE(2020,3,31)</f>
        <v>43921</v>
      </c>
      <c r="E13" s="20" t="n">
        <v>2019</v>
      </c>
      <c r="F13" s="22" t="n">
        <v>0.241777473688126</v>
      </c>
      <c r="G13" s="22"/>
      <c r="H13" s="17" t="n">
        <f aca="false">IF(AND(DATE($O$3,$P$3,$Q$3)&lt;=$B13, $B13&lt;=DATE($O$4,$P$4,$Q$4)), IF(AND(H14=0, $A13 &gt; 0), 0, 1), IF(AND(H14&lt;&gt;0, $A13 &gt; 0), 1, 0))</f>
        <v>0</v>
      </c>
      <c r="I13" s="17" t="n">
        <f aca="false">IF(OR($H14&lt;&gt;0,$H13=0), 0, 1)</f>
        <v>0</v>
      </c>
      <c r="J13" s="17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8" hidden="false" customHeight="false" outlineLevel="0" collapsed="false">
      <c r="A14" s="15" t="n">
        <v>-1202271.15201529</v>
      </c>
      <c r="B14" s="16" t="n">
        <f aca="false">DATE(2020,6,30)</f>
        <v>44012</v>
      </c>
      <c r="E14" s="20" t="n">
        <v>2020</v>
      </c>
      <c r="F14" s="22" t="n">
        <v>0.120374912023544</v>
      </c>
      <c r="G14" s="22"/>
      <c r="H14" s="17" t="n">
        <f aca="false">IF(AND(DATE($O$3,$P$3,$Q$3)&lt;=$B14, $B14&lt;=DATE($O$4,$P$4,$Q$4)), IF(AND(H15=0, $A14 &gt; 0), 0, 1), IF(AND(H15&lt;&gt;0, $A14 &gt; 0), 1, 0))</f>
        <v>0</v>
      </c>
      <c r="I14" s="17" t="n">
        <f aca="false">IF(OR($H15&lt;&gt;0,$H14=0), 0, 1)</f>
        <v>0</v>
      </c>
      <c r="J14" s="17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8" hidden="false" customHeight="false" outlineLevel="0" collapsed="false">
      <c r="A15" s="15" t="n">
        <v>1202271.15201529</v>
      </c>
      <c r="B15" s="16" t="n">
        <f aca="false">DATE(2020,6,30)</f>
        <v>44012</v>
      </c>
      <c r="E15" s="20" t="n">
        <v>2021</v>
      </c>
      <c r="F15" s="22" t="n">
        <v>0.298284095525742</v>
      </c>
      <c r="G15" s="22"/>
      <c r="H15" s="17" t="n">
        <f aca="false">IF(AND(DATE($O$3,$P$3,$Q$3)&lt;=$B15, $B15&lt;=DATE($O$4,$P$4,$Q$4)), IF(AND(H16=0, $A15 &gt; 0), 0, 1), IF(AND(H16&lt;&gt;0, $A15 &gt; 0), 1, 0))</f>
        <v>0</v>
      </c>
      <c r="I15" s="17" t="n">
        <f aca="false">IF(OR($H16&lt;&gt;0,$H15=0), 0, 1)</f>
        <v>0</v>
      </c>
      <c r="J15" s="17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8" hidden="false" customHeight="false" outlineLevel="0" collapsed="false">
      <c r="A16" s="15" t="n">
        <v>-1275309.62258847</v>
      </c>
      <c r="B16" s="16" t="n">
        <f aca="false">DATE(2020,9,30)</f>
        <v>44104</v>
      </c>
      <c r="E16" s="20" t="n">
        <v>2022</v>
      </c>
      <c r="F16" s="22" t="n">
        <v>-0.129766032472253</v>
      </c>
      <c r="G16" s="22"/>
      <c r="H16" s="17" t="n">
        <f aca="false">IF(AND(DATE($O$3,$P$3,$Q$3)&lt;=$B16, $B16&lt;=DATE($O$4,$P$4,$Q$4)), IF(AND(H17=0, $A16 &gt; 0), 0, 1), IF(AND(H17&lt;&gt;0, $A16 &gt; 0), 1, 0))</f>
        <v>0</v>
      </c>
      <c r="I16" s="17" t="n">
        <f aca="false">IF(OR($H17&lt;&gt;0,$H16=0), 0, 1)</f>
        <v>0</v>
      </c>
      <c r="J16" s="17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8" hidden="false" customHeight="false" outlineLevel="0" collapsed="false">
      <c r="A17" s="15" t="n">
        <v>1275309.62258847</v>
      </c>
      <c r="B17" s="16" t="n">
        <f aca="false">DATE(2020,9,30)</f>
        <v>44104</v>
      </c>
      <c r="E17" s="20" t="n">
        <v>2023</v>
      </c>
      <c r="F17" s="22" t="n">
        <v>0.136511355638504</v>
      </c>
      <c r="G17" s="22"/>
      <c r="H17" s="17" t="n">
        <f aca="false">IF(AND(DATE($O$3,$P$3,$Q$3)&lt;=$B17, $B17&lt;=DATE($O$4,$P$4,$Q$4)), IF(AND(H18=0, $A17 &gt; 0), 0, 1), IF(AND(H18&lt;&gt;0, $A17 &gt; 0), 1, 0))</f>
        <v>0</v>
      </c>
      <c r="I17" s="17" t="n">
        <f aca="false">IF(OR($H18&lt;&gt;0,$H17=0), 0, 1)</f>
        <v>0</v>
      </c>
      <c r="J17" s="17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8" hidden="false" customHeight="false" outlineLevel="0" collapsed="false">
      <c r="A18" s="15" t="n">
        <v>-1391689.64685847</v>
      </c>
      <c r="B18" s="16" t="n">
        <f aca="false">DATE(2020,12,31)</f>
        <v>44196</v>
      </c>
      <c r="E18" s="20" t="n">
        <v>2024</v>
      </c>
      <c r="F18" s="22" t="n">
        <v>0.119200899214503</v>
      </c>
      <c r="G18" s="22"/>
      <c r="H18" s="17" t="n">
        <f aca="false">IF(AND(DATE($O$3,$P$3,$Q$3)&lt;=$B18, $B18&lt;=DATE($O$4,$P$4,$Q$4)), IF(AND(H19=0, $A18 &gt; 0), 0, 1), IF(AND(H19&lt;&gt;0, $A18 &gt; 0), 1, 0))</f>
        <v>0</v>
      </c>
      <c r="I18" s="17" t="n">
        <f aca="false">IF(OR($H19&lt;&gt;0,$H18=0), 0, 1)</f>
        <v>0</v>
      </c>
      <c r="J18" s="17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8" hidden="false" customHeight="false" outlineLevel="0" collapsed="false">
      <c r="A19" s="15" t="n">
        <v>1391689.64685847</v>
      </c>
      <c r="B19" s="16" t="n">
        <f aca="false">DATE(2020,12,31)</f>
        <v>44196</v>
      </c>
      <c r="E19" s="20" t="n">
        <v>2025</v>
      </c>
      <c r="F19" s="24" t="n">
        <v>0</v>
      </c>
      <c r="G19" s="17"/>
      <c r="H19" s="17" t="n">
        <f aca="false">IF(AND(DATE($O$3,$P$3,$Q$3)&lt;=$B19, $B19&lt;=DATE($O$4,$P$4,$Q$4)), IF(AND(H20=0, $A19 &gt; 0), 0, 1), IF(AND(H20&lt;&gt;0, $A19 &gt; 0), 1, 0))</f>
        <v>0</v>
      </c>
      <c r="I19" s="17" t="n">
        <f aca="false">IF(OR($H20&lt;&gt;0,$H19=0), 0, 1)</f>
        <v>0</v>
      </c>
      <c r="J19" s="17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8" hidden="false" customHeight="false" outlineLevel="0" collapsed="false">
      <c r="A20" s="15" t="n">
        <v>-1469797.27487</v>
      </c>
      <c r="B20" s="16" t="n">
        <f aca="false">DATE(2021,3,31)</f>
        <v>44286</v>
      </c>
      <c r="E20" s="20" t="n">
        <v>2026</v>
      </c>
      <c r="F20" s="24" t="n">
        <v>0</v>
      </c>
      <c r="G20" s="17"/>
      <c r="H20" s="17" t="n">
        <f aca="false">IF(AND(DATE($O$3,$P$3,$Q$3)&lt;=$B20, $B20&lt;=DATE($O$4,$P$4,$Q$4)), IF(AND(H21=0, $A20 &gt; 0), 0, 1), IF(AND(H21&lt;&gt;0, $A20 &gt; 0), 1, 0))</f>
        <v>0</v>
      </c>
      <c r="I20" s="17" t="n">
        <f aca="false">IF(OR($H21&lt;&gt;0,$H20=0), 0, 1)</f>
        <v>0</v>
      </c>
      <c r="J20" s="17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8" hidden="false" customHeight="false" outlineLevel="0" collapsed="false">
      <c r="A21" s="15" t="n">
        <v>1469797.27487</v>
      </c>
      <c r="B21" s="16" t="n">
        <f aca="false">DATE(2021,3,31)</f>
        <v>44286</v>
      </c>
      <c r="E21" s="20" t="n">
        <v>2027</v>
      </c>
      <c r="F21" s="24" t="n">
        <v>0</v>
      </c>
      <c r="G21" s="17"/>
      <c r="H21" s="17" t="n">
        <f aca="false">IF(AND(DATE($O$3,$P$3,$Q$3)&lt;=$B21, $B21&lt;=DATE($O$4,$P$4,$Q$4)), IF(AND(H22=0, $A21 &gt; 0), 0, 1), IF(AND(H22&lt;&gt;0, $A21 &gt; 0), 1, 0))</f>
        <v>0</v>
      </c>
      <c r="I21" s="17" t="n">
        <f aca="false">IF(OR($H22&lt;&gt;0,$H21=0), 0, 1)</f>
        <v>0</v>
      </c>
      <c r="J21" s="17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</row>
    <row r="22" customFormat="false" ht="18" hidden="false" customHeight="false" outlineLevel="0" collapsed="false">
      <c r="A22" s="15" t="n">
        <v>-1586071.36329795</v>
      </c>
      <c r="B22" s="16" t="n">
        <f aca="false">DATE(2021,6,30)</f>
        <v>44377</v>
      </c>
      <c r="E22" s="20" t="n">
        <v>2028</v>
      </c>
      <c r="F22" s="24" t="n">
        <v>0</v>
      </c>
      <c r="G22" s="17"/>
      <c r="H22" s="17" t="n">
        <f aca="false">IF(AND(DATE($O$3,$P$3,$Q$3)&lt;=$B22, $B22&lt;=DATE($O$4,$P$4,$Q$4)), IF(AND(H23=0, $A22 &gt; 0), 0, 1), IF(AND(H23&lt;&gt;0, $A22 &gt; 0), 1, 0))</f>
        <v>0</v>
      </c>
      <c r="I22" s="17" t="n">
        <f aca="false">IF(OR($H23&lt;&gt;0,$H22=0), 0, 1)</f>
        <v>0</v>
      </c>
      <c r="J22" s="17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</row>
    <row r="23" customFormat="false" ht="18" hidden="false" customHeight="false" outlineLevel="0" collapsed="false">
      <c r="A23" s="15" t="n">
        <v>1586071.36329795</v>
      </c>
      <c r="B23" s="16" t="n">
        <f aca="false">DATE(2021,6,30)</f>
        <v>44377</v>
      </c>
      <c r="E23" s="20" t="n">
        <v>2029</v>
      </c>
      <c r="F23" s="24" t="n">
        <v>0</v>
      </c>
      <c r="G23" s="17"/>
      <c r="H23" s="17" t="n">
        <f aca="false">IF(AND(DATE($O$3,$P$3,$Q$3)&lt;=$B23, $B23&lt;=DATE($O$4,$P$4,$Q$4)), IF(AND(H24=0, $A23 &gt; 0), 0, 1), IF(AND(H24&lt;&gt;0, $A23 &gt; 0), 1, 0))</f>
        <v>0</v>
      </c>
      <c r="I23" s="17" t="n">
        <f aca="false">IF(OR($H24&lt;&gt;0,$H23=0), 0, 1)</f>
        <v>0</v>
      </c>
      <c r="J23" s="17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</row>
    <row r="24" customFormat="false" ht="18" hidden="false" customHeight="false" outlineLevel="0" collapsed="false">
      <c r="A24" s="15" t="n">
        <v>-1653741.83256237</v>
      </c>
      <c r="B24" s="16" t="n">
        <f aca="false">DATE(2021,9,30)</f>
        <v>44469</v>
      </c>
      <c r="E24" s="20" t="n">
        <v>2030</v>
      </c>
      <c r="F24" s="24" t="n">
        <v>0</v>
      </c>
      <c r="G24" s="17"/>
      <c r="H24" s="17" t="n">
        <f aca="false">IF(AND(DATE($O$3,$P$3,$Q$3)&lt;=$B24, $B24&lt;=DATE($O$4,$P$4,$Q$4)), IF(AND(H25=0, $A24 &gt; 0), 0, 1), IF(AND(H25&lt;&gt;0, $A24 &gt; 0), 1, 0))</f>
        <v>0</v>
      </c>
      <c r="I24" s="17" t="n">
        <f aca="false">IF(OR($H25&lt;&gt;0,$H24=0), 0, 1)</f>
        <v>0</v>
      </c>
      <c r="J24" s="17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</row>
    <row r="25" customFormat="false" ht="18" hidden="false" customHeight="false" outlineLevel="0" collapsed="false">
      <c r="A25" s="15" t="n">
        <v>1653741.83256237</v>
      </c>
      <c r="B25" s="16" t="n">
        <f aca="false">DATE(2021,9,30)</f>
        <v>44469</v>
      </c>
      <c r="E25" s="20" t="n">
        <v>2031</v>
      </c>
      <c r="F25" s="24" t="n">
        <v>0</v>
      </c>
      <c r="G25" s="17"/>
      <c r="H25" s="17" t="n">
        <f aca="false">IF(AND(DATE($O$3,$P$3,$Q$3)&lt;=$B25, $B25&lt;=DATE($O$4,$P$4,$Q$4)), IF(AND(H26=0, $A25 &gt; 0), 0, 1), IF(AND(H26&lt;&gt;0, $A25 &gt; 0), 1, 0))</f>
        <v>0</v>
      </c>
      <c r="I25" s="17" t="n">
        <f aca="false">IF(OR($H26&lt;&gt;0,$H25=0), 0, 1)</f>
        <v>0</v>
      </c>
      <c r="J25" s="17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</row>
    <row r="26" customFormat="false" ht="18" hidden="false" customHeight="false" outlineLevel="0" collapsed="false">
      <c r="A26" s="15" t="n">
        <v>-1806808.532842</v>
      </c>
      <c r="B26" s="16" t="n">
        <f aca="false">DATE(2021,12,31)</f>
        <v>44561</v>
      </c>
      <c r="G26" s="17"/>
      <c r="H26" s="17" t="n">
        <f aca="false">IF(AND(DATE($O$3,$P$3,$Q$3)&lt;=$B26, $B26&lt;=DATE($O$4,$P$4,$Q$4)), IF(AND(H27=0, $A26 &gt; 0), 0, 1), IF(AND(H27&lt;&gt;0, $A26 &gt; 0), 1, 0))</f>
        <v>0</v>
      </c>
      <c r="I26" s="17" t="n">
        <f aca="false">IF(OR($H27&lt;&gt;0,$H26=0), 0, 1)</f>
        <v>0</v>
      </c>
      <c r="J26" s="17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</row>
    <row r="27" customFormat="false" ht="18" hidden="false" customHeight="false" outlineLevel="0" collapsed="false">
      <c r="A27" s="15" t="n">
        <v>1806808.532842</v>
      </c>
      <c r="B27" s="16" t="n">
        <f aca="false">DATE(2021,12,31)</f>
        <v>44561</v>
      </c>
      <c r="C27" s="27"/>
      <c r="G27" s="17"/>
      <c r="H27" s="17" t="n">
        <f aca="false">IF(AND(DATE($O$3,$P$3,$Q$3)&lt;=$B27, $B27&lt;=DATE($O$4,$P$4,$Q$4)), IF(AND(H28=0, $A27 &gt; 0), 0, 1), IF(AND(H28&lt;&gt;0, $A27 &gt; 0), 1, 0))</f>
        <v>0</v>
      </c>
      <c r="I27" s="17" t="n">
        <f aca="false">IF(OR($H28&lt;&gt;0,$H27=0), 0, 1)</f>
        <v>0</v>
      </c>
      <c r="J27" s="17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</row>
    <row r="28" customFormat="false" ht="18" hidden="false" customHeight="false" outlineLevel="0" collapsed="false">
      <c r="A28" s="15" t="n">
        <v>-1745231.99705568</v>
      </c>
      <c r="B28" s="16" t="n">
        <f aca="false">DATE(2022,3,31)</f>
        <v>44651</v>
      </c>
      <c r="C28" s="27"/>
      <c r="G28" s="17"/>
      <c r="H28" s="17" t="n">
        <f aca="false">IF(AND(DATE($O$3,$P$3,$Q$3)&lt;=$B28, $B28&lt;=DATE($O$4,$P$4,$Q$4)), IF(AND(H29=0, $A28 &gt; 0), 0, 1), IF(AND(H29&lt;&gt;0, $A28 &gt; 0), 1, 0))</f>
        <v>0</v>
      </c>
      <c r="I28" s="17" t="n">
        <f aca="false">IF(OR($H29&lt;&gt;0,$H28=0), 0, 1)</f>
        <v>0</v>
      </c>
      <c r="J28" s="17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</row>
    <row r="29" customFormat="false" ht="18" hidden="false" customHeight="false" outlineLevel="0" collapsed="false">
      <c r="A29" s="15" t="n">
        <v>1745231.99705568</v>
      </c>
      <c r="B29" s="16" t="n">
        <f aca="false">DATE(2022,3,31)</f>
        <v>44651</v>
      </c>
      <c r="D29" s="17"/>
      <c r="E29" s="17"/>
      <c r="F29" s="26"/>
      <c r="G29" s="17"/>
      <c r="H29" s="17" t="n">
        <f aca="false">IF(AND(DATE($O$3,$P$3,$Q$3)&lt;=$B29, $B29&lt;=DATE($O$4,$P$4,$Q$4)), IF(AND(H30=0, $A29 &gt; 0), 0, 1), IF(AND(H30&lt;&gt;0, $A29 &gt; 0), 1, 0))</f>
        <v>0</v>
      </c>
      <c r="I29" s="17" t="n">
        <f aca="false">IF(OR($H30&lt;&gt;0,$H29=0), 0, 1)</f>
        <v>0</v>
      </c>
      <c r="J29" s="17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</row>
    <row r="30" customFormat="false" ht="18" hidden="false" customHeight="false" outlineLevel="0" collapsed="false">
      <c r="A30" s="15" t="n">
        <v>-1526457.74612542</v>
      </c>
      <c r="B30" s="16" t="n">
        <f aca="false">DATE(2022,6,30)</f>
        <v>44742</v>
      </c>
      <c r="D30" s="17"/>
      <c r="E30" s="17"/>
      <c r="F30" s="26"/>
      <c r="G30" s="17"/>
      <c r="H30" s="17" t="n">
        <f aca="false">IF(AND(DATE($O$3,$P$3,$Q$3)&lt;=$B30, $B30&lt;=DATE($O$4,$P$4,$Q$4)), IF(AND(H31=0, $A30 &gt; 0), 0, 1), IF(AND(H31&lt;&gt;0, $A30 &gt; 0), 1, 0))</f>
        <v>0</v>
      </c>
      <c r="I30" s="17" t="n">
        <f aca="false">IF(OR($H31&lt;&gt;0,$H30=0), 0, 1)</f>
        <v>0</v>
      </c>
      <c r="J30" s="17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8" hidden="false" customHeight="false" outlineLevel="0" collapsed="false">
      <c r="A31" s="15" t="n">
        <v>1526457.74612542</v>
      </c>
      <c r="B31" s="16" t="n">
        <f aca="false">DATE(2022,6,30)</f>
        <v>44742</v>
      </c>
      <c r="H31" s="17" t="n">
        <f aca="false">IF(AND(DATE($O$3,$P$3,$Q$3)&lt;=$B31, $B31&lt;=DATE($O$4,$P$4,$Q$4)), IF(AND(H32=0, $A31 &gt; 0), 0, 1), IF(AND(H32&lt;&gt;0, $A31 &gt; 0), 1, 0))</f>
        <v>0</v>
      </c>
      <c r="I31" s="17" t="n">
        <f aca="false">IF(OR($H32&lt;&gt;0,$H31=0), 0, 1)</f>
        <v>0</v>
      </c>
      <c r="J31" s="17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8" hidden="false" customHeight="false" outlineLevel="0" collapsed="false">
      <c r="A32" s="15" t="n">
        <v>-1538101.02362322</v>
      </c>
      <c r="B32" s="16" t="n">
        <f aca="false">DATE(2022,9,30)</f>
        <v>44834</v>
      </c>
      <c r="H32" s="17" t="n">
        <f aca="false">IF(AND(DATE($O$3,$P$3,$Q$3)&lt;=$B32, $B32&lt;=DATE($O$4,$P$4,$Q$4)), IF(AND(H33=0, $A32 &gt; 0), 0, 1), IF(AND(H33&lt;&gt;0, $A32 &gt; 0), 1, 0))</f>
        <v>0</v>
      </c>
      <c r="I32" s="17" t="n">
        <f aca="false">IF(OR($H33&lt;&gt;0,$H32=0), 0, 1)</f>
        <v>0</v>
      </c>
      <c r="J32" s="17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8" hidden="false" customHeight="false" outlineLevel="0" collapsed="false">
      <c r="A33" s="15" t="n">
        <v>1538101.02362322</v>
      </c>
      <c r="B33" s="16" t="n">
        <f aca="false">DATE(2022,9,30)</f>
        <v>44834</v>
      </c>
      <c r="H33" s="17" t="n">
        <f aca="false">IF(AND(DATE($O$3,$P$3,$Q$3)&lt;=$B33, $B33&lt;=DATE($O$4,$P$4,$Q$4)), IF(AND(H34=0, $A33 &gt; 0), 0, 1), IF(AND(H34&lt;&gt;0, $A33 &gt; 0), 1, 0))</f>
        <v>0</v>
      </c>
      <c r="I33" s="17" t="n">
        <f aca="false">IF(OR($H34&lt;&gt;0,$H33=0), 0, 1)</f>
        <v>0</v>
      </c>
      <c r="J33" s="17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8" hidden="false" customHeight="false" outlineLevel="0" collapsed="false">
      <c r="A34" s="15" t="n">
        <v>-1572346.16399166</v>
      </c>
      <c r="B34" s="16" t="n">
        <f aca="false">DATE(2022,12,31)</f>
        <v>44926</v>
      </c>
      <c r="H34" s="17" t="n">
        <f aca="false">IF(AND(DATE($O$3,$P$3,$Q$3)&lt;=$B34, $B34&lt;=DATE($O$4,$P$4,$Q$4)), IF(AND(H35=0, $A34 &gt; 0), 0, 1), IF(AND(H35&lt;&gt;0, $A34 &gt; 0), 1, 0))</f>
        <v>0</v>
      </c>
      <c r="I34" s="17" t="n">
        <f aca="false">IF(OR($H35&lt;&gt;0,$H34=0), 0, 1)</f>
        <v>0</v>
      </c>
      <c r="J34" s="17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8" hidden="false" customHeight="false" outlineLevel="0" collapsed="false">
      <c r="A35" s="15" t="n">
        <v>1572346.16399166</v>
      </c>
      <c r="B35" s="16" t="n">
        <f aca="false">DATE(2022,12,31)</f>
        <v>44926</v>
      </c>
      <c r="H35" s="17" t="n">
        <f aca="false">IF(AND(DATE($O$3,$P$3,$Q$3)&lt;=$B35, $B35&lt;=DATE($O$4,$P$4,$Q$4)), IF(AND(H36=0, $A35 &gt; 0), 0, 1), IF(AND(H36&lt;&gt;0, $A35 &gt; 0), 1, 0))</f>
        <v>0</v>
      </c>
      <c r="I35" s="17" t="n">
        <f aca="false">IF(OR($H36&lt;&gt;0,$H35=0), 0, 1)</f>
        <v>0</v>
      </c>
      <c r="J35" s="17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8" hidden="false" customHeight="false" outlineLevel="0" collapsed="false">
      <c r="A36" s="15" t="n">
        <v>-1643682.50489854</v>
      </c>
      <c r="B36" s="16" t="n">
        <f aca="false">DATE(2023,3,31)</f>
        <v>45016</v>
      </c>
      <c r="H36" s="17" t="n">
        <f aca="false">IF(AND(DATE($O$3,$P$3,$Q$3)&lt;=$B36, $B36&lt;=DATE($O$4,$P$4,$Q$4)), IF(AND(H37=0, $A36 &gt; 0), 0, 1), IF(AND(H37&lt;&gt;0, $A36 &gt; 0), 1, 0))</f>
        <v>0</v>
      </c>
      <c r="I36" s="17" t="n">
        <f aca="false">IF(OR($H37&lt;&gt;0,$H36=0), 0, 1)</f>
        <v>0</v>
      </c>
      <c r="J36" s="17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8" hidden="false" customHeight="false" outlineLevel="0" collapsed="false">
      <c r="A37" s="15" t="n">
        <v>1643682.50489854</v>
      </c>
      <c r="B37" s="16" t="n">
        <f aca="false">DATE(2023,3,31)</f>
        <v>45016</v>
      </c>
      <c r="H37" s="17" t="n">
        <f aca="false">IF(AND(DATE($O$3,$P$3,$Q$3)&lt;=$B37, $B37&lt;=DATE($O$4,$P$4,$Q$4)), IF(AND(H38=0, $A37 &gt; 0), 0, 1), IF(AND(H38&lt;&gt;0, $A37 &gt; 0), 1, 0))</f>
        <v>0</v>
      </c>
      <c r="I37" s="17" t="n">
        <f aca="false">IF(OR($H38&lt;&gt;0,$H37=0), 0, 1)</f>
        <v>0</v>
      </c>
      <c r="J37" s="17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</v>
      </c>
    </row>
    <row r="38" customFormat="false" ht="18" hidden="false" customHeight="false" outlineLevel="0" collapsed="false">
      <c r="A38" s="15" t="n">
        <v>-1677725.18656138</v>
      </c>
      <c r="B38" s="16" t="n">
        <f aca="false">DATE(2023,6,30)</f>
        <v>45107</v>
      </c>
      <c r="H38" s="17" t="n">
        <f aca="false">IF(AND(DATE($O$3,$P$3,$Q$3)&lt;=$B38, $B38&lt;=DATE($O$4,$P$4,$Q$4)), IF(AND(H39=0, $A38 &gt; 0), 0, 1), IF(AND(H39&lt;&gt;0, $A38 &gt; 0), 1, 0))</f>
        <v>0</v>
      </c>
      <c r="I38" s="17" t="n">
        <f aca="false">IF(OR($H39&lt;&gt;0,$H38=0), 0, 1)</f>
        <v>0</v>
      </c>
      <c r="J38" s="17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8" hidden="false" customHeight="false" outlineLevel="0" collapsed="false">
      <c r="A39" s="15" t="n">
        <v>1677725.18656138</v>
      </c>
      <c r="B39" s="16" t="n">
        <f aca="false">DATE(2023,6,30)</f>
        <v>45107</v>
      </c>
      <c r="H39" s="17" t="n">
        <f aca="false">IF(AND(DATE($O$3,$P$3,$Q$3)&lt;=$B39, $B39&lt;=DATE($O$4,$P$4,$Q$4)), IF(AND(H40=0, $A39 &gt; 0), 0, 1), IF(AND(H40&lt;&gt;0, $A39 &gt; 0), 1, 0))</f>
        <v>0</v>
      </c>
      <c r="I39" s="17" t="n">
        <f aca="false">IF(OR($H40&lt;&gt;0,$H39=0), 0, 1)</f>
        <v>0</v>
      </c>
      <c r="J39" s="17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8" hidden="false" customHeight="false" outlineLevel="0" collapsed="false">
      <c r="A40" s="15" t="n">
        <v>-1621284.88179326</v>
      </c>
      <c r="B40" s="16" t="n">
        <f aca="false">DATE(2023,9,30)</f>
        <v>45199</v>
      </c>
      <c r="H40" s="17" t="n">
        <f aca="false">IF(AND(DATE($O$3,$P$3,$Q$3)&lt;=$B40, $B40&lt;=DATE($O$4,$P$4,$Q$4)), IF(AND(H41=0, $A40 &gt; 0), 0, 1), IF(AND(H41&lt;&gt;0, $A40 &gt; 0), 1, 0))</f>
        <v>0</v>
      </c>
      <c r="I40" s="17" t="n">
        <f aca="false">IF(OR($H41&lt;&gt;0,$H40=0), 0, 1)</f>
        <v>0</v>
      </c>
      <c r="J40" s="17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8" hidden="false" customHeight="false" outlineLevel="0" collapsed="false">
      <c r="A41" s="15" t="n">
        <v>1621284.88179326</v>
      </c>
      <c r="B41" s="16" t="n">
        <f aca="false">DATE(2023,9,30)</f>
        <v>45199</v>
      </c>
      <c r="H41" s="17" t="n">
        <f aca="false">IF(AND(DATE($O$3,$P$3,$Q$3)&lt;=$B41, $B41&lt;=DATE($O$4,$P$4,$Q$4)), IF(AND(H42=0, $A41 &gt; 0), 0, 1), IF(AND(H42&lt;&gt;0, $A41 &gt; 0), 1, 0))</f>
        <v>0</v>
      </c>
      <c r="I41" s="17" t="n">
        <f aca="false">IF(OR($H42&lt;&gt;0,$H41=0), 0, 1)</f>
        <v>0</v>
      </c>
      <c r="J41" s="17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8" hidden="false" customHeight="false" outlineLevel="0" collapsed="false">
      <c r="A42" s="15" t="n">
        <v>-1786989.27293728</v>
      </c>
      <c r="B42" s="16" t="n">
        <f aca="false">DATE(2023,12,31)</f>
        <v>45291</v>
      </c>
      <c r="H42" s="17" t="n">
        <f aca="false">IF(AND(DATE($O$3,$P$3,$Q$3)&lt;=$B42, $B42&lt;=DATE($O$4,$P$4,$Q$4)), IF(AND(H43=0, $A42 &gt; 0), 0, 1), IF(AND(H43&lt;&gt;0, $A42 &gt; 0), 1, 0))</f>
        <v>0</v>
      </c>
      <c r="I42" s="17" t="n">
        <f aca="false">IF(OR($H43&lt;&gt;0,$H42=0), 0, 1)</f>
        <v>0</v>
      </c>
      <c r="J42" s="17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8" hidden="false" customHeight="false" outlineLevel="0" collapsed="false">
      <c r="A43" s="15" t="n">
        <v>1786989.27293728</v>
      </c>
      <c r="B43" s="16" t="n">
        <f aca="false">DATE(2023,12,31)</f>
        <v>45291</v>
      </c>
      <c r="H43" s="17" t="n">
        <f aca="false">IF(AND(DATE($O$3,$P$3,$Q$3)&lt;=$B43, $B43&lt;=DATE($O$4,$P$4,$Q$4)), IF(AND(H44=0, $A43 &gt; 0), 0, 1), IF(AND(H44&lt;&gt;0, $A43 &gt; 0), 1, 0))</f>
        <v>0</v>
      </c>
      <c r="I43" s="17" t="n">
        <f aca="false">IF(OR($H44&lt;&gt;0,$H43=0), 0, 1)</f>
        <v>0</v>
      </c>
      <c r="J43" s="17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8" hidden="false" customHeight="false" outlineLevel="0" collapsed="false">
      <c r="A44" s="28" t="n">
        <v>-1907592.0627835</v>
      </c>
      <c r="B44" s="16" t="n">
        <f aca="false">DATE(2024,3,31)</f>
        <v>45382</v>
      </c>
      <c r="H44" s="17" t="n">
        <f aca="false">IF(AND(DATE($O$3,$P$3,$Q$3)&lt;=$B44, $B44&lt;=DATE($O$4,$P$4,$Q$4)), IF(AND(H45=0, $A44 &gt; 0), 0, 1), IF(AND(H45&lt;&gt;0, $A44 &gt; 0), 1, 0))</f>
        <v>0</v>
      </c>
      <c r="I44" s="17" t="n">
        <f aca="false">IF(OR($H45&lt;&gt;0,$H44=0), 0, 1)</f>
        <v>0</v>
      </c>
      <c r="J44" s="17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  <row r="45" customFormat="false" ht="16.5" hidden="false" customHeight="false" outlineLevel="0" collapsed="false">
      <c r="A45" s="15"/>
      <c r="B45" s="16" t="n">
        <f aca="false">DATE(2024,3,31)</f>
        <v>45382</v>
      </c>
    </row>
    <row r="46" customFormat="false" ht="16.5" hidden="false" customHeight="false" outlineLevel="0" collapsed="false">
      <c r="A46" s="15"/>
    </row>
    <row r="47" customFormat="false" ht="16.5" hidden="false" customHeight="false" outlineLevel="0" collapsed="false">
      <c r="A47" s="15"/>
    </row>
    <row r="48" customFormat="false" ht="16.5" hidden="false" customHeight="false" outlineLevel="0" collapsed="false">
      <c r="A48" s="1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14"/>
  <sheetViews>
    <sheetView showFormulas="false" showGridLines="true" showRowColHeaders="true" showZeros="true" rightToLeft="false" tabSelected="false" showOutlineSymbols="true" defaultGridColor="true" view="normal" topLeftCell="A6" colorId="64" zoomScale="65" zoomScaleNormal="65" zoomScalePageLayoutView="100" workbookViewId="0">
      <selection pane="topLeft" activeCell="B25" activeCellId="0" sqref="B25"/>
    </sheetView>
  </sheetViews>
  <sheetFormatPr defaultColWidth="9.1484375" defaultRowHeight="16.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6.71"/>
    <col collapsed="false" customWidth="true" hidden="false" outlineLevel="0" max="3" min="3" style="1" width="18.71"/>
    <col collapsed="false" customWidth="true" hidden="false" outlineLevel="0" max="4" min="4" style="1" width="10.71"/>
    <col collapsed="false" customWidth="true" hidden="false" outlineLevel="0" max="5" min="5" style="1" width="14.71"/>
    <col collapsed="false" customWidth="true" hidden="false" outlineLevel="0" max="6" min="6" style="11" width="23.57"/>
    <col collapsed="false" customWidth="false" hidden="false" outlineLevel="0" max="7" min="7" style="1" width="9.14"/>
    <col collapsed="false" customWidth="true" hidden="false" outlineLevel="0" max="8" min="8" style="1" width="16.57"/>
    <col collapsed="false" customWidth="true" hidden="false" outlineLevel="0" max="9" min="9" style="1" width="14.71"/>
    <col collapsed="false" customWidth="true" hidden="false" outlineLevel="0" max="10" min="10" style="1" width="13.71"/>
    <col collapsed="false" customWidth="false" hidden="false" outlineLevel="0" max="16384" min="11" style="1" width="9.14"/>
  </cols>
  <sheetData>
    <row r="1" customFormat="false" ht="16.5" hidden="false" customHeight="false" outlineLevel="0" collapsed="false">
      <c r="A1" s="12" t="s">
        <v>34</v>
      </c>
      <c r="B1" s="13" t="s">
        <v>35</v>
      </c>
      <c r="C1" s="13"/>
      <c r="D1" s="14"/>
      <c r="E1" s="14"/>
    </row>
    <row r="2" customFormat="false" ht="16.5" hidden="false" customHeight="false" outlineLevel="0" collapsed="false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customFormat="false" ht="18" hidden="false" customHeight="false" outlineLevel="0" collapsed="false">
      <c r="A3" s="15" t="n">
        <v>1000000</v>
      </c>
      <c r="B3" s="16" t="n">
        <f aca="false">DATE(2021,12,31)</f>
        <v>44561</v>
      </c>
      <c r="C3" s="1" t="s">
        <v>27</v>
      </c>
      <c r="G3" s="17"/>
      <c r="H3" s="17" t="n">
        <f aca="false">IF(AND(DATE($O$3,$P$3,$Q$3)&lt;=$B3, $B3&lt;=DATE($O$4,$P$4,$Q$4)), IF(AND(H4=0, $A3 &gt; 0), 0, 1), IF(AND(H4&lt;&gt;0, $A3 &gt; 0), 1, 0))</f>
        <v>0</v>
      </c>
      <c r="I3" s="17" t="n">
        <f aca="false">IF(OR($H4&lt;&gt;0,$H3=0), 0, 1)</f>
        <v>0</v>
      </c>
      <c r="J3" s="17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 t="n">
        <f aca="false">HUB!G40</f>
        <v>2031</v>
      </c>
      <c r="P3" s="1" t="n">
        <f aca="false">HUB!H40</f>
        <v>1</v>
      </c>
      <c r="Q3" s="1" t="n">
        <f aca="false">HUB!I40</f>
        <v>1</v>
      </c>
    </row>
    <row r="4" customFormat="false" ht="18" hidden="false" customHeight="false" outlineLevel="0" collapsed="false">
      <c r="A4" s="15" t="n">
        <v>-960736.72193756</v>
      </c>
      <c r="B4" s="16" t="n">
        <f aca="false">DATE(2022,3,31)</f>
        <v>44651</v>
      </c>
      <c r="G4" s="17"/>
      <c r="H4" s="17" t="n">
        <f aca="false">IF(AND(DATE($O$3,$P$3,$Q$3)&lt;=$B4, $B4&lt;=DATE($O$4,$P$4,$Q$4)), IF(AND(H5=0, $A4 &gt; 0), 0, 1), IF(AND(H5&lt;&gt;0, $A4 &gt; 0), 1, 0))</f>
        <v>0</v>
      </c>
      <c r="I4" s="17" t="n">
        <f aca="false">IF(OR($H5&lt;&gt;0,$H4=0), 0, 1)</f>
        <v>0</v>
      </c>
      <c r="J4" s="17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1" t="s">
        <v>29</v>
      </c>
      <c r="O4" s="1" t="n">
        <f aca="false">HUB!G41</f>
        <v>2031</v>
      </c>
      <c r="P4" s="1" t="n">
        <f aca="false">HUB!H41</f>
        <v>12</v>
      </c>
      <c r="Q4" s="1" t="n">
        <f aca="false">HUB!I41</f>
        <v>31</v>
      </c>
    </row>
    <row r="5" customFormat="false" ht="18" hidden="false" customHeight="false" outlineLevel="0" collapsed="false">
      <c r="A5" s="15" t="n">
        <v>960736.72193756</v>
      </c>
      <c r="B5" s="16" t="n">
        <f aca="false">DATE(2022,3,31)</f>
        <v>44651</v>
      </c>
      <c r="E5" s="2" t="s">
        <v>30</v>
      </c>
      <c r="F5" s="18"/>
      <c r="G5" s="17"/>
      <c r="H5" s="17" t="n">
        <f aca="false">IF(AND(DATE($O$3,$P$3,$Q$3)&lt;=$B5, $B5&lt;=DATE($O$4,$P$4,$Q$4)), IF(AND(H6=0, $A5 &gt; 0), 0, 1), IF(AND(H6&lt;&gt;0, $A5 &gt; 0), 1, 0))</f>
        <v>0</v>
      </c>
      <c r="I5" s="17" t="n">
        <f aca="false">IF(OR($H6&lt;&gt;0,$H5=0), 0, 1)</f>
        <v>0</v>
      </c>
      <c r="J5" s="17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1" t="s">
        <v>31</v>
      </c>
      <c r="O5" s="19" t="n">
        <f aca="false">SUM(J:J)</f>
        <v>0</v>
      </c>
    </row>
    <row r="6" customFormat="false" ht="18" hidden="false" customHeight="false" outlineLevel="0" collapsed="false">
      <c r="A6" s="15" t="n">
        <v>-807421.87959756</v>
      </c>
      <c r="B6" s="16" t="n">
        <f aca="false">DATE(2022,6,30)</f>
        <v>44742</v>
      </c>
      <c r="E6" s="20" t="s">
        <v>5</v>
      </c>
      <c r="F6" s="21" t="n">
        <v>0.115772274051114</v>
      </c>
      <c r="G6" s="22"/>
      <c r="H6" s="17" t="n">
        <f aca="false">IF(AND(DATE($O$3,$P$3,$Q$3)&lt;=$B6, $B6&lt;=DATE($O$4,$P$4,$Q$4)), IF(AND(H7=0, $A6 &gt; 0), 0, 1), IF(AND(H7&lt;&gt;0, $A6 &gt; 0), 1, 0))</f>
        <v>0</v>
      </c>
      <c r="I6" s="17" t="n">
        <f aca="false">IF(OR($H7&lt;&gt;0,$H6=0), 0, 1)</f>
        <v>0</v>
      </c>
      <c r="J6" s="17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</row>
    <row r="7" customFormat="false" ht="18" hidden="false" customHeight="false" outlineLevel="0" collapsed="false">
      <c r="A7" s="15" t="n">
        <v>807421.87959756</v>
      </c>
      <c r="B7" s="16" t="n">
        <f aca="false">DATE(2022,6,30)</f>
        <v>44742</v>
      </c>
      <c r="E7" s="20" t="s">
        <v>6</v>
      </c>
      <c r="F7" s="21" t="n">
        <v>0.115772274051114</v>
      </c>
      <c r="G7" s="22"/>
      <c r="H7" s="17" t="n">
        <f aca="false">IF(AND(DATE($O$3,$P$3,$Q$3)&lt;=$B7, $B7&lt;=DATE($O$4,$P$4,$Q$4)), IF(AND(H8=0, $A7 &gt; 0), 0, 1), IF(AND(H8&lt;&gt;0, $A7 &gt; 0), 1, 0))</f>
        <v>0</v>
      </c>
      <c r="I7" s="17" t="n">
        <f aca="false">IF(OR($H8&lt;&gt;0,$H7=0), 0, 1)</f>
        <v>0</v>
      </c>
      <c r="J7" s="17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2"/>
      <c r="P7" s="2"/>
      <c r="Q7" s="2"/>
    </row>
    <row r="8" customFormat="false" ht="18" hidden="false" customHeight="false" outlineLevel="0" collapsed="false">
      <c r="A8" s="15" t="n">
        <v>-823069.60172465</v>
      </c>
      <c r="B8" s="16" t="n">
        <f aca="false">DATE(2022,9,30)</f>
        <v>44834</v>
      </c>
      <c r="E8" s="20" t="s">
        <v>7</v>
      </c>
      <c r="F8" s="21" t="n">
        <v>0.243114632368088</v>
      </c>
      <c r="G8" s="22"/>
      <c r="H8" s="17" t="n">
        <f aca="false">IF(AND(DATE($O$3,$P$3,$Q$3)&lt;=$B8, $B8&lt;=DATE($O$4,$P$4,$Q$4)), IF(AND(H9=0, $A8 &gt; 0), 0, 1), IF(AND(H9&lt;&gt;0, $A8 &gt; 0), 1, 0))</f>
        <v>0</v>
      </c>
      <c r="I8" s="17" t="n">
        <f aca="false">IF(OR($H9&lt;&gt;0,$H8=0), 0, 1)</f>
        <v>0</v>
      </c>
      <c r="J8" s="17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2"/>
    </row>
    <row r="9" customFormat="false" ht="18" hidden="false" customHeight="false" outlineLevel="0" collapsed="false">
      <c r="A9" s="15" t="n">
        <v>823069.60172465</v>
      </c>
      <c r="B9" s="16" t="n">
        <f aca="false">DATE(2022,9,30)</f>
        <v>44834</v>
      </c>
      <c r="E9" s="20" t="s">
        <v>8</v>
      </c>
      <c r="F9" s="21" t="n">
        <v>0.0793822556734085</v>
      </c>
      <c r="G9" s="22"/>
      <c r="H9" s="17" t="n">
        <f aca="false">IF(AND(DATE($O$3,$P$3,$Q$3)&lt;=$B9, $B9&lt;=DATE($O$4,$P$4,$Q$4)), IF(AND(H10=0, $A9 &gt; 0), 0, 1), IF(AND(H10&lt;&gt;0, $A9 &gt; 0), 1, 0))</f>
        <v>0</v>
      </c>
      <c r="I9" s="17" t="n">
        <f aca="false">IF(OR($H10&lt;&gt;0,$H9=0), 0, 1)</f>
        <v>0</v>
      </c>
      <c r="J9" s="17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8" hidden="false" customHeight="false" outlineLevel="0" collapsed="false">
      <c r="A10" s="15" t="n">
        <v>-910170.066936</v>
      </c>
      <c r="B10" s="16" t="n">
        <f aca="false">DATE(2022,12,31)</f>
        <v>44926</v>
      </c>
      <c r="E10" s="20" t="s">
        <v>9</v>
      </c>
      <c r="F10" s="21" t="n">
        <v>0.0793822556734085</v>
      </c>
      <c r="G10" s="22"/>
      <c r="H10" s="17" t="n">
        <f aca="false">IF(AND(DATE($O$3,$P$3,$Q$3)&lt;=$B10, $B10&lt;=DATE($O$4,$P$4,$Q$4)), IF(AND(H11=0, $A10 &gt; 0), 0, 1), IF(AND(H11&lt;&gt;0, $A10 &gt; 0), 1, 0))</f>
        <v>0</v>
      </c>
      <c r="I10" s="17" t="n">
        <f aca="false">IF(OR($H11&lt;&gt;0,$H10=0), 0, 1)</f>
        <v>0</v>
      </c>
      <c r="J10" s="17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8" hidden="false" customHeight="false" outlineLevel="0" collapsed="false">
      <c r="A11" s="15" t="n">
        <v>910170.066936</v>
      </c>
      <c r="B11" s="16" t="n">
        <f aca="false">DATE(2022,12,31)</f>
        <v>44926</v>
      </c>
      <c r="E11" s="20" t="s">
        <v>10</v>
      </c>
      <c r="F11" s="21" t="n">
        <v>0.0793822556734085</v>
      </c>
      <c r="G11" s="22"/>
      <c r="H11" s="17" t="n">
        <f aca="false">IF(AND(DATE($O$3,$P$3,$Q$3)&lt;=$B11, $B11&lt;=DATE($O$4,$P$4,$Q$4)), IF(AND(H12=0, $A11 &gt; 0), 0, 1), IF(AND(H12&lt;&gt;0, $A11 &gt; 0), 1, 0))</f>
        <v>0</v>
      </c>
      <c r="I11" s="17" t="n">
        <f aca="false">IF(OR($H12&lt;&gt;0,$H11=0), 0, 1)</f>
        <v>0</v>
      </c>
      <c r="J11" s="17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8" hidden="false" customHeight="false" outlineLevel="0" collapsed="false">
      <c r="A12" s="15" t="n">
        <v>-954666.1707545</v>
      </c>
      <c r="B12" s="16" t="n">
        <f aca="false">DATE(2023,3,31)</f>
        <v>45016</v>
      </c>
      <c r="E12" s="20" t="s">
        <v>11</v>
      </c>
      <c r="F12" s="21" t="n">
        <v>0.0793822556734085</v>
      </c>
      <c r="G12" s="22"/>
      <c r="H12" s="17" t="n">
        <f aca="false">IF(AND(DATE($O$3,$P$3,$Q$3)&lt;=$B12, $B12&lt;=DATE($O$4,$P$4,$Q$4)), IF(AND(H13=0, $A12 &gt; 0), 0, 1), IF(AND(H13&lt;&gt;0, $A12 &gt; 0), 1, 0))</f>
        <v>0</v>
      </c>
      <c r="I12" s="17" t="n">
        <f aca="false">IF(OR($H13&lt;&gt;0,$H12=0), 0, 1)</f>
        <v>0</v>
      </c>
      <c r="J12" s="17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8" hidden="false" customHeight="false" outlineLevel="0" collapsed="false">
      <c r="A13" s="15" t="n">
        <v>954666.1707545</v>
      </c>
      <c r="B13" s="16" t="n">
        <f aca="false">DATE(2023,3,31)</f>
        <v>45016</v>
      </c>
      <c r="E13" s="20" t="n">
        <v>2019</v>
      </c>
      <c r="F13" s="22" t="n">
        <v>0</v>
      </c>
      <c r="G13" s="22"/>
      <c r="H13" s="17" t="n">
        <f aca="false">IF(AND(DATE($O$3,$P$3,$Q$3)&lt;=$B13, $B13&lt;=DATE($O$4,$P$4,$Q$4)), IF(AND(H14=0, $A13 &gt; 0), 0, 1), IF(AND(H14&lt;&gt;0, $A13 &gt; 0), 1, 0))</f>
        <v>0</v>
      </c>
      <c r="I13" s="17" t="n">
        <f aca="false">IF(OR($H14&lt;&gt;0,$H13=0), 0, 1)</f>
        <v>0</v>
      </c>
      <c r="J13" s="17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8" hidden="false" customHeight="false" outlineLevel="0" collapsed="false">
      <c r="A14" s="15" t="n">
        <v>-973102.3019345</v>
      </c>
      <c r="B14" s="16" t="n">
        <f aca="false">DATE(2023,6,30)</f>
        <v>45107</v>
      </c>
      <c r="E14" s="20" t="n">
        <v>2020</v>
      </c>
      <c r="F14" s="22" t="n">
        <v>0</v>
      </c>
      <c r="G14" s="22"/>
      <c r="H14" s="17" t="n">
        <f aca="false">IF(AND(DATE($O$3,$P$3,$Q$3)&lt;=$B14, $B14&lt;=DATE($O$4,$P$4,$Q$4)), IF(AND(H15=0, $A14 &gt; 0), 0, 1), IF(AND(H15&lt;&gt;0, $A14 &gt; 0), 1, 0))</f>
        <v>0</v>
      </c>
      <c r="I14" s="17" t="n">
        <f aca="false">IF(OR($H15&lt;&gt;0,$H14=0), 0, 1)</f>
        <v>0</v>
      </c>
      <c r="J14" s="17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8" hidden="false" customHeight="false" outlineLevel="0" collapsed="false">
      <c r="A15" s="15" t="n">
        <v>973102.3019345</v>
      </c>
      <c r="B15" s="16" t="n">
        <f aca="false">DATE(2023,6,30)</f>
        <v>45107</v>
      </c>
      <c r="E15" s="20" t="n">
        <v>2021</v>
      </c>
      <c r="F15" s="22" t="n">
        <v>0</v>
      </c>
      <c r="G15" s="22"/>
      <c r="H15" s="17" t="n">
        <f aca="false">IF(AND(DATE($O$3,$P$3,$Q$3)&lt;=$B15, $B15&lt;=DATE($O$4,$P$4,$Q$4)), IF(AND(H16=0, $A15 &gt; 0), 0, 1), IF(AND(H16&lt;&gt;0, $A15 &gt; 0), 1, 0))</f>
        <v>0</v>
      </c>
      <c r="I15" s="17" t="n">
        <f aca="false">IF(OR($H16&lt;&gt;0,$H15=0), 0, 1)</f>
        <v>0</v>
      </c>
      <c r="J15" s="17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8" hidden="false" customHeight="false" outlineLevel="0" collapsed="false">
      <c r="A16" s="15" t="n">
        <v>-971912.37326757</v>
      </c>
      <c r="B16" s="16" t="n">
        <f aca="false">DATE(2023,9,30)</f>
        <v>45199</v>
      </c>
      <c r="E16" s="20" t="n">
        <v>2022</v>
      </c>
      <c r="F16" s="22" t="n">
        <v>-0.0898299306631088</v>
      </c>
      <c r="G16" s="22"/>
      <c r="H16" s="17" t="n">
        <f aca="false">IF(AND(DATE($O$3,$P$3,$Q$3)&lt;=$B16, $B16&lt;=DATE($O$4,$P$4,$Q$4)), IF(AND(H17=0, $A16 &gt; 0), 0, 1), IF(AND(H17&lt;&gt;0, $A16 &gt; 0), 1, 0))</f>
        <v>0</v>
      </c>
      <c r="I16" s="17" t="n">
        <f aca="false">IF(OR($H17&lt;&gt;0,$H16=0), 0, 1)</f>
        <v>0</v>
      </c>
      <c r="J16" s="17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8" hidden="false" customHeight="false" outlineLevel="0" collapsed="false">
      <c r="A17" s="15" t="n">
        <v>971912.37326757</v>
      </c>
      <c r="B17" s="16" t="n">
        <f aca="false">DATE(2023,9,30)</f>
        <v>45199</v>
      </c>
      <c r="E17" s="20" t="n">
        <v>2023</v>
      </c>
      <c r="F17" s="22" t="n">
        <v>0.169293493032455</v>
      </c>
      <c r="G17" s="22"/>
      <c r="H17" s="17" t="n">
        <f aca="false">IF(AND(DATE($O$3,$P$3,$Q$3)&lt;=$B17, $B17&lt;=DATE($O$4,$P$4,$Q$4)), IF(AND(H18=0, $A17 &gt; 0), 0, 1), IF(AND(H18&lt;&gt;0, $A17 &gt; 0), 1, 0))</f>
        <v>0</v>
      </c>
      <c r="I17" s="17" t="n">
        <f aca="false">IF(OR($H18&lt;&gt;0,$H17=0), 0, 1)</f>
        <v>0</v>
      </c>
      <c r="J17" s="17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8" hidden="false" customHeight="false" outlineLevel="0" collapsed="false">
      <c r="A18" s="15" t="n">
        <v>-1064255.936208</v>
      </c>
      <c r="B18" s="16" t="n">
        <f aca="false">DATE(2023,12,31)</f>
        <v>45291</v>
      </c>
      <c r="E18" s="20" t="n">
        <v>2024</v>
      </c>
      <c r="F18" s="22" t="n">
        <v>0.0335859656086213</v>
      </c>
      <c r="G18" s="22"/>
      <c r="H18" s="17" t="n">
        <f aca="false">IF(AND(DATE($O$3,$P$3,$Q$3)&lt;=$B18, $B18&lt;=DATE($O$4,$P$4,$Q$4)), IF(AND(H19=0, $A18 &gt; 0), 0, 1), IF(AND(H19&lt;&gt;0, $A18 &gt; 0), 1, 0))</f>
        <v>0</v>
      </c>
      <c r="I18" s="17" t="n">
        <f aca="false">IF(OR($H19&lt;&gt;0,$H18=0), 0, 1)</f>
        <v>0</v>
      </c>
      <c r="J18" s="17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8" hidden="false" customHeight="false" outlineLevel="0" collapsed="false">
      <c r="A19" s="15" t="n">
        <v>1064255.936208</v>
      </c>
      <c r="B19" s="16" t="n">
        <f aca="false">DATE(2023,12,31)</f>
        <v>45291</v>
      </c>
      <c r="E19" s="20" t="n">
        <v>2025</v>
      </c>
      <c r="F19" s="24" t="n">
        <v>0</v>
      </c>
      <c r="G19" s="17"/>
      <c r="H19" s="17" t="n">
        <f aca="false">IF(AND(DATE($O$3,$P$3,$Q$3)&lt;=$B19, $B19&lt;=DATE($O$4,$P$4,$Q$4)), IF(AND(H20=0, $A19 &gt; 0), 0, 1), IF(AND(H20&lt;&gt;0, $A19 &gt; 0), 1, 0))</f>
        <v>0</v>
      </c>
      <c r="I19" s="17" t="n">
        <f aca="false">IF(OR($H20&lt;&gt;0,$H19=0), 0, 1)</f>
        <v>0</v>
      </c>
      <c r="J19" s="17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8" hidden="false" customHeight="false" outlineLevel="0" collapsed="false">
      <c r="A20" s="28" t="n">
        <v>-1187467.266085</v>
      </c>
      <c r="B20" s="16" t="n">
        <f aca="false">DATE(2024,3,31)</f>
        <v>45382</v>
      </c>
      <c r="E20" s="20" t="n">
        <v>2026</v>
      </c>
      <c r="F20" s="24" t="n">
        <v>0</v>
      </c>
      <c r="G20" s="17"/>
      <c r="H20" s="17" t="n">
        <f aca="false">IF(AND(DATE($O$3,$P$3,$Q$3)&lt;=$B20, $B20&lt;=DATE($O$4,$P$4,$Q$4)), IF(AND(H21=0, $A20 &gt; 0), 0, 1), IF(AND(H21&lt;&gt;0, $A20 &gt; 0), 1, 0))</f>
        <v>0</v>
      </c>
      <c r="I20" s="17" t="n">
        <f aca="false">IF(OR($H21&lt;&gt;0,$H20=0), 0, 1)</f>
        <v>0</v>
      </c>
      <c r="J20" s="17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8" hidden="false" customHeight="false" outlineLevel="0" collapsed="false">
      <c r="A21" s="15"/>
      <c r="B21" s="16" t="n">
        <f aca="false">DATE(2024,3,31)</f>
        <v>45382</v>
      </c>
      <c r="E21" s="20" t="n">
        <v>2027</v>
      </c>
      <c r="F21" s="24" t="n">
        <v>0</v>
      </c>
      <c r="G21" s="17"/>
      <c r="H21" s="17"/>
      <c r="I21" s="17"/>
      <c r="J21" s="17"/>
    </row>
    <row r="22" customFormat="false" ht="18" hidden="false" customHeight="false" outlineLevel="0" collapsed="false">
      <c r="A22" s="15"/>
      <c r="B22" s="16"/>
      <c r="E22" s="20" t="n">
        <v>2028</v>
      </c>
      <c r="F22" s="24" t="n">
        <v>0</v>
      </c>
      <c r="G22" s="17"/>
      <c r="H22" s="17"/>
      <c r="I22" s="17"/>
      <c r="J22" s="17"/>
    </row>
    <row r="23" customFormat="false" ht="18" hidden="false" customHeight="false" outlineLevel="0" collapsed="false">
      <c r="A23" s="15"/>
      <c r="B23" s="16"/>
      <c r="E23" s="20" t="n">
        <v>2029</v>
      </c>
      <c r="F23" s="24" t="n">
        <v>0</v>
      </c>
      <c r="G23" s="17"/>
      <c r="H23" s="17"/>
      <c r="I23" s="17"/>
      <c r="J23" s="17"/>
    </row>
    <row r="24" customFormat="false" ht="18" hidden="false" customHeight="false" outlineLevel="0" collapsed="false">
      <c r="A24" s="15"/>
      <c r="B24" s="16"/>
      <c r="E24" s="20" t="n">
        <v>2030</v>
      </c>
      <c r="F24" s="24" t="n">
        <v>0</v>
      </c>
      <c r="G24" s="17"/>
      <c r="H24" s="17"/>
      <c r="I24" s="17"/>
      <c r="J24" s="17"/>
    </row>
    <row r="25" customFormat="false" ht="18" hidden="false" customHeight="false" outlineLevel="0" collapsed="false">
      <c r="A25" s="15"/>
      <c r="B25" s="16"/>
      <c r="E25" s="20" t="n">
        <v>2031</v>
      </c>
      <c r="F25" s="24" t="n">
        <v>0</v>
      </c>
      <c r="G25" s="17"/>
      <c r="H25" s="17"/>
      <c r="I25" s="17"/>
      <c r="J25" s="17"/>
    </row>
    <row r="26" customFormat="false" ht="18" hidden="false" customHeight="false" outlineLevel="0" collapsed="false">
      <c r="A26" s="15"/>
      <c r="B26" s="16"/>
      <c r="G26" s="17"/>
      <c r="H26" s="17"/>
      <c r="I26" s="17"/>
      <c r="J26" s="17"/>
    </row>
    <row r="27" customFormat="false" ht="18" hidden="false" customHeight="false" outlineLevel="0" collapsed="false">
      <c r="A27" s="15"/>
      <c r="B27" s="16"/>
      <c r="C27" s="27"/>
      <c r="G27" s="17"/>
      <c r="H27" s="17"/>
      <c r="I27" s="17"/>
      <c r="J27" s="17"/>
    </row>
    <row r="28" customFormat="false" ht="18" hidden="false" customHeight="false" outlineLevel="0" collapsed="false">
      <c r="A28" s="15"/>
      <c r="B28" s="16"/>
      <c r="G28" s="17"/>
      <c r="H28" s="17"/>
      <c r="I28" s="17"/>
      <c r="J28" s="17"/>
    </row>
    <row r="29" customFormat="false" ht="18" hidden="false" customHeight="false" outlineLevel="0" collapsed="false">
      <c r="A29" s="15"/>
      <c r="B29" s="16"/>
      <c r="D29" s="17"/>
      <c r="E29" s="17"/>
      <c r="F29" s="26"/>
      <c r="G29" s="17"/>
      <c r="H29" s="17"/>
      <c r="I29" s="17"/>
      <c r="J29" s="17"/>
    </row>
    <row r="30" customFormat="false" ht="18" hidden="false" customHeight="false" outlineLevel="0" collapsed="false">
      <c r="A30" s="15"/>
      <c r="B30" s="16"/>
      <c r="D30" s="17"/>
      <c r="E30" s="17"/>
      <c r="F30" s="26"/>
      <c r="G30" s="17"/>
      <c r="H30" s="17"/>
      <c r="I30" s="17"/>
      <c r="J30" s="17"/>
    </row>
    <row r="31" customFormat="false" ht="18" hidden="false" customHeight="false" outlineLevel="0" collapsed="false">
      <c r="A31" s="15"/>
      <c r="B31" s="16"/>
      <c r="E31" s="1" t="s">
        <v>36</v>
      </c>
      <c r="H31" s="17"/>
      <c r="I31" s="17"/>
      <c r="J31" s="17"/>
    </row>
    <row r="32" customFormat="false" ht="18" hidden="false" customHeight="false" outlineLevel="0" collapsed="false">
      <c r="A32" s="15"/>
      <c r="B32" s="16"/>
      <c r="H32" s="17"/>
      <c r="I32" s="17"/>
      <c r="J32" s="17"/>
    </row>
    <row r="33" customFormat="false" ht="18" hidden="false" customHeight="false" outlineLevel="0" collapsed="false">
      <c r="A33" s="15"/>
      <c r="B33" s="16"/>
      <c r="H33" s="17"/>
      <c r="I33" s="17"/>
      <c r="J33" s="17"/>
    </row>
    <row r="34" customFormat="false" ht="18" hidden="false" customHeight="false" outlineLevel="0" collapsed="false">
      <c r="A34" s="15"/>
      <c r="B34" s="16"/>
      <c r="H34" s="17"/>
      <c r="I34" s="17"/>
      <c r="J34" s="17"/>
    </row>
    <row r="35" customFormat="false" ht="18" hidden="false" customHeight="false" outlineLevel="0" collapsed="false">
      <c r="A35" s="15"/>
      <c r="B35" s="16"/>
      <c r="H35" s="17"/>
      <c r="I35" s="17"/>
      <c r="J35" s="17"/>
    </row>
    <row r="36" customFormat="false" ht="18" hidden="false" customHeight="false" outlineLevel="0" collapsed="false">
      <c r="A36" s="15"/>
      <c r="B36" s="16"/>
      <c r="H36" s="17"/>
      <c r="I36" s="17"/>
      <c r="J36" s="17"/>
    </row>
    <row r="37" customFormat="false" ht="18" hidden="false" customHeight="false" outlineLevel="0" collapsed="false">
      <c r="A37" s="15"/>
      <c r="B37" s="16"/>
      <c r="H37" s="17"/>
      <c r="I37" s="17"/>
      <c r="J37" s="17"/>
    </row>
    <row r="38" customFormat="false" ht="18" hidden="false" customHeight="false" outlineLevel="0" collapsed="false">
      <c r="A38" s="15"/>
      <c r="B38" s="16"/>
      <c r="H38" s="17"/>
      <c r="I38" s="17"/>
      <c r="J38" s="17"/>
    </row>
    <row r="39" customFormat="false" ht="18" hidden="false" customHeight="false" outlineLevel="0" collapsed="false">
      <c r="A39" s="15"/>
      <c r="B39" s="16"/>
      <c r="H39" s="17"/>
      <c r="I39" s="17"/>
      <c r="J39" s="17"/>
    </row>
    <row r="40" customFormat="false" ht="18" hidden="false" customHeight="false" outlineLevel="0" collapsed="false">
      <c r="A40" s="15"/>
      <c r="B40" s="16"/>
      <c r="H40" s="17"/>
      <c r="I40" s="17"/>
      <c r="J40" s="17"/>
    </row>
    <row r="41" customFormat="false" ht="18" hidden="false" customHeight="false" outlineLevel="0" collapsed="false">
      <c r="A41" s="15"/>
      <c r="B41" s="16"/>
      <c r="H41" s="17"/>
      <c r="I41" s="17"/>
      <c r="J41" s="17"/>
    </row>
    <row r="42" customFormat="false" ht="18" hidden="false" customHeight="false" outlineLevel="0" collapsed="false">
      <c r="A42" s="15"/>
      <c r="B42" s="16"/>
      <c r="H42" s="17"/>
      <c r="I42" s="17"/>
      <c r="J42" s="17"/>
    </row>
    <row r="43" customFormat="false" ht="18" hidden="false" customHeight="false" outlineLevel="0" collapsed="false">
      <c r="A43" s="15"/>
      <c r="B43" s="16"/>
      <c r="H43" s="17"/>
      <c r="I43" s="17"/>
      <c r="J43" s="17"/>
    </row>
    <row r="44" customFormat="false" ht="18" hidden="false" customHeight="false" outlineLevel="0" collapsed="false">
      <c r="A44" s="15"/>
      <c r="B44" s="16"/>
      <c r="H44" s="17"/>
      <c r="I44" s="17"/>
      <c r="J44" s="17"/>
    </row>
    <row r="45" customFormat="false" ht="18" hidden="false" customHeight="false" outlineLevel="0" collapsed="false">
      <c r="A45" s="15"/>
      <c r="B45" s="16"/>
      <c r="H45" s="17"/>
      <c r="I45" s="17"/>
      <c r="J45" s="17"/>
    </row>
    <row r="46" customFormat="false" ht="18" hidden="false" customHeight="false" outlineLevel="0" collapsed="false">
      <c r="A46" s="15"/>
      <c r="B46" s="16"/>
      <c r="H46" s="17"/>
      <c r="I46" s="17"/>
      <c r="J46" s="17"/>
    </row>
    <row r="47" customFormat="false" ht="18" hidden="false" customHeight="false" outlineLevel="0" collapsed="false">
      <c r="A47" s="15"/>
      <c r="B47" s="16"/>
      <c r="H47" s="17"/>
      <c r="I47" s="17"/>
      <c r="J47" s="17"/>
    </row>
    <row r="48" customFormat="false" ht="18" hidden="false" customHeight="false" outlineLevel="0" collapsed="false">
      <c r="A48" s="15"/>
      <c r="B48" s="16"/>
      <c r="H48" s="17"/>
      <c r="I48" s="17"/>
      <c r="J48" s="17"/>
    </row>
    <row r="49" customFormat="false" ht="18" hidden="false" customHeight="false" outlineLevel="0" collapsed="false">
      <c r="A49" s="15"/>
      <c r="B49" s="16"/>
      <c r="H49" s="17"/>
      <c r="I49" s="17"/>
      <c r="J49" s="17"/>
    </row>
    <row r="50" customFormat="false" ht="18" hidden="false" customHeight="false" outlineLevel="0" collapsed="false">
      <c r="A50" s="15"/>
      <c r="B50" s="16"/>
      <c r="H50" s="17"/>
      <c r="I50" s="17"/>
      <c r="J50" s="17"/>
    </row>
    <row r="51" customFormat="false" ht="18" hidden="false" customHeight="false" outlineLevel="0" collapsed="false">
      <c r="A51" s="15"/>
      <c r="B51" s="16"/>
      <c r="H51" s="17"/>
      <c r="I51" s="17"/>
      <c r="J51" s="17"/>
    </row>
    <row r="52" customFormat="false" ht="18" hidden="false" customHeight="false" outlineLevel="0" collapsed="false">
      <c r="A52" s="15"/>
      <c r="B52" s="16"/>
      <c r="H52" s="17"/>
      <c r="I52" s="17"/>
      <c r="J52" s="17"/>
    </row>
    <row r="53" customFormat="false" ht="18" hidden="false" customHeight="false" outlineLevel="0" collapsed="false">
      <c r="A53" s="15"/>
      <c r="B53" s="16"/>
      <c r="H53" s="17"/>
      <c r="I53" s="17"/>
      <c r="J53" s="17"/>
    </row>
    <row r="54" customFormat="false" ht="18" hidden="false" customHeight="false" outlineLevel="0" collapsed="false">
      <c r="A54" s="15"/>
      <c r="B54" s="16"/>
      <c r="H54" s="17"/>
      <c r="I54" s="17"/>
      <c r="J54" s="17"/>
    </row>
    <row r="55" customFormat="false" ht="18" hidden="false" customHeight="false" outlineLevel="0" collapsed="false">
      <c r="A55" s="15"/>
      <c r="B55" s="16"/>
      <c r="H55" s="17"/>
      <c r="I55" s="17"/>
      <c r="J55" s="17"/>
    </row>
    <row r="56" customFormat="false" ht="18" hidden="false" customHeight="false" outlineLevel="0" collapsed="false">
      <c r="A56" s="15"/>
      <c r="B56" s="16"/>
      <c r="H56" s="17"/>
      <c r="I56" s="17"/>
      <c r="J56" s="17"/>
    </row>
    <row r="57" customFormat="false" ht="18" hidden="false" customHeight="false" outlineLevel="0" collapsed="false">
      <c r="A57" s="15"/>
      <c r="B57" s="16"/>
      <c r="H57" s="17"/>
      <c r="I57" s="17"/>
      <c r="J57" s="17"/>
    </row>
    <row r="58" customFormat="false" ht="18" hidden="false" customHeight="false" outlineLevel="0" collapsed="false">
      <c r="A58" s="15"/>
      <c r="B58" s="16"/>
      <c r="H58" s="17"/>
      <c r="I58" s="17"/>
      <c r="J58" s="17"/>
    </row>
    <row r="59" customFormat="false" ht="18" hidden="false" customHeight="false" outlineLevel="0" collapsed="false">
      <c r="A59" s="15"/>
      <c r="B59" s="16"/>
      <c r="H59" s="17"/>
      <c r="I59" s="17"/>
      <c r="J59" s="17"/>
    </row>
    <row r="60" customFormat="false" ht="18" hidden="false" customHeight="false" outlineLevel="0" collapsed="false">
      <c r="A60" s="15"/>
      <c r="B60" s="16"/>
      <c r="H60" s="17"/>
      <c r="I60" s="17"/>
      <c r="J60" s="17"/>
    </row>
    <row r="61" customFormat="false" ht="18" hidden="false" customHeight="false" outlineLevel="0" collapsed="false">
      <c r="A61" s="15"/>
      <c r="B61" s="16"/>
      <c r="H61" s="17"/>
      <c r="I61" s="17"/>
      <c r="J61" s="17"/>
    </row>
    <row r="62" customFormat="false" ht="18" hidden="false" customHeight="false" outlineLevel="0" collapsed="false">
      <c r="A62" s="15"/>
      <c r="B62" s="16"/>
      <c r="H62" s="17"/>
      <c r="I62" s="17"/>
      <c r="J62" s="17"/>
    </row>
    <row r="63" customFormat="false" ht="18" hidden="false" customHeight="false" outlineLevel="0" collapsed="false">
      <c r="A63" s="15"/>
      <c r="B63" s="16"/>
      <c r="H63" s="17"/>
      <c r="I63" s="17"/>
      <c r="J63" s="17"/>
    </row>
    <row r="64" customFormat="false" ht="18" hidden="false" customHeight="false" outlineLevel="0" collapsed="false">
      <c r="A64" s="15"/>
      <c r="B64" s="16"/>
      <c r="H64" s="17"/>
      <c r="I64" s="17"/>
      <c r="J64" s="17"/>
    </row>
    <row r="65" customFormat="false" ht="18" hidden="false" customHeight="false" outlineLevel="0" collapsed="false">
      <c r="A65" s="15"/>
      <c r="B65" s="16"/>
      <c r="H65" s="17"/>
      <c r="I65" s="17"/>
      <c r="J65" s="17"/>
    </row>
    <row r="66" customFormat="false" ht="18" hidden="false" customHeight="false" outlineLevel="0" collapsed="false">
      <c r="A66" s="15"/>
      <c r="B66" s="16"/>
      <c r="H66" s="17"/>
      <c r="I66" s="17"/>
      <c r="J66" s="17"/>
    </row>
    <row r="67" customFormat="false" ht="18" hidden="false" customHeight="false" outlineLevel="0" collapsed="false">
      <c r="A67" s="15"/>
      <c r="B67" s="16"/>
      <c r="H67" s="17"/>
      <c r="I67" s="17"/>
      <c r="J67" s="17"/>
    </row>
    <row r="68" customFormat="false" ht="18" hidden="false" customHeight="false" outlineLevel="0" collapsed="false">
      <c r="A68" s="15"/>
      <c r="B68" s="16"/>
      <c r="H68" s="17"/>
      <c r="I68" s="17"/>
      <c r="J68" s="17"/>
    </row>
    <row r="69" customFormat="false" ht="18" hidden="false" customHeight="false" outlineLevel="0" collapsed="false">
      <c r="A69" s="15"/>
      <c r="B69" s="16"/>
      <c r="H69" s="17"/>
      <c r="I69" s="17"/>
      <c r="J69" s="17"/>
    </row>
    <row r="70" customFormat="false" ht="18" hidden="false" customHeight="false" outlineLevel="0" collapsed="false">
      <c r="A70" s="15"/>
      <c r="B70" s="16"/>
      <c r="H70" s="17"/>
      <c r="I70" s="17"/>
      <c r="J70" s="17"/>
    </row>
    <row r="71" customFormat="false" ht="18" hidden="false" customHeight="false" outlineLevel="0" collapsed="false">
      <c r="A71" s="15"/>
      <c r="B71" s="16"/>
      <c r="H71" s="17"/>
      <c r="I71" s="17"/>
      <c r="J71" s="17"/>
    </row>
    <row r="72" customFormat="false" ht="18" hidden="false" customHeight="false" outlineLevel="0" collapsed="false">
      <c r="A72" s="15"/>
      <c r="B72" s="16"/>
      <c r="H72" s="17"/>
      <c r="I72" s="17"/>
      <c r="J72" s="17"/>
    </row>
    <row r="73" customFormat="false" ht="18" hidden="false" customHeight="false" outlineLevel="0" collapsed="false">
      <c r="A73" s="15"/>
      <c r="B73" s="16"/>
      <c r="H73" s="17"/>
      <c r="I73" s="17"/>
      <c r="J73" s="17"/>
    </row>
    <row r="74" customFormat="false" ht="18" hidden="false" customHeight="false" outlineLevel="0" collapsed="false">
      <c r="A74" s="15"/>
      <c r="B74" s="16"/>
      <c r="H74" s="17"/>
      <c r="I74" s="17"/>
      <c r="J74" s="17"/>
    </row>
    <row r="75" customFormat="false" ht="18" hidden="false" customHeight="false" outlineLevel="0" collapsed="false">
      <c r="A75" s="15"/>
      <c r="B75" s="16"/>
      <c r="H75" s="17"/>
      <c r="I75" s="17"/>
      <c r="J75" s="17"/>
    </row>
    <row r="76" customFormat="false" ht="18" hidden="false" customHeight="false" outlineLevel="0" collapsed="false">
      <c r="A76" s="15"/>
      <c r="B76" s="16"/>
      <c r="H76" s="17"/>
      <c r="I76" s="17"/>
      <c r="J76" s="17"/>
    </row>
    <row r="77" customFormat="false" ht="18" hidden="false" customHeight="false" outlineLevel="0" collapsed="false">
      <c r="A77" s="15"/>
      <c r="B77" s="16"/>
      <c r="H77" s="17"/>
      <c r="I77" s="17"/>
      <c r="J77" s="17"/>
    </row>
    <row r="78" customFormat="false" ht="18" hidden="false" customHeight="false" outlineLevel="0" collapsed="false">
      <c r="A78" s="15"/>
      <c r="B78" s="16"/>
      <c r="H78" s="17"/>
      <c r="I78" s="17"/>
      <c r="J78" s="17"/>
    </row>
    <row r="79" customFormat="false" ht="18" hidden="false" customHeight="false" outlineLevel="0" collapsed="false">
      <c r="A79" s="15"/>
      <c r="B79" s="16"/>
      <c r="H79" s="17"/>
      <c r="I79" s="17"/>
      <c r="J79" s="17"/>
    </row>
    <row r="80" customFormat="false" ht="18" hidden="false" customHeight="false" outlineLevel="0" collapsed="false">
      <c r="A80" s="15"/>
      <c r="B80" s="16"/>
      <c r="H80" s="17"/>
      <c r="I80" s="17"/>
      <c r="J80" s="17"/>
    </row>
    <row r="81" customFormat="false" ht="18" hidden="false" customHeight="false" outlineLevel="0" collapsed="false">
      <c r="A81" s="15"/>
      <c r="B81" s="16"/>
      <c r="H81" s="17"/>
      <c r="I81" s="17"/>
      <c r="J81" s="17"/>
    </row>
    <row r="82" customFormat="false" ht="18" hidden="false" customHeight="false" outlineLevel="0" collapsed="false">
      <c r="A82" s="15"/>
      <c r="B82" s="16"/>
      <c r="H82" s="17"/>
      <c r="I82" s="17"/>
      <c r="J82" s="17"/>
    </row>
    <row r="83" customFormat="false" ht="18" hidden="false" customHeight="false" outlineLevel="0" collapsed="false">
      <c r="A83" s="15"/>
      <c r="B83" s="16"/>
      <c r="H83" s="17"/>
      <c r="I83" s="17"/>
      <c r="J83" s="17"/>
    </row>
    <row r="84" customFormat="false" ht="18" hidden="false" customHeight="false" outlineLevel="0" collapsed="false">
      <c r="A84" s="15"/>
      <c r="B84" s="16"/>
      <c r="H84" s="17"/>
      <c r="I84" s="17"/>
      <c r="J84" s="17"/>
    </row>
    <row r="85" customFormat="false" ht="18" hidden="false" customHeight="false" outlineLevel="0" collapsed="false">
      <c r="A85" s="15"/>
      <c r="B85" s="16"/>
      <c r="H85" s="17"/>
      <c r="I85" s="17"/>
      <c r="J85" s="17"/>
    </row>
    <row r="86" customFormat="false" ht="18" hidden="false" customHeight="false" outlineLevel="0" collapsed="false">
      <c r="A86" s="15"/>
      <c r="B86" s="16"/>
      <c r="H86" s="17"/>
      <c r="I86" s="17"/>
      <c r="J86" s="17"/>
    </row>
    <row r="87" customFormat="false" ht="18" hidden="false" customHeight="false" outlineLevel="0" collapsed="false">
      <c r="A87" s="15"/>
      <c r="B87" s="16"/>
      <c r="H87" s="17"/>
      <c r="I87" s="17"/>
      <c r="J87" s="17"/>
    </row>
    <row r="88" customFormat="false" ht="18" hidden="false" customHeight="false" outlineLevel="0" collapsed="false">
      <c r="A88" s="15"/>
      <c r="B88" s="16"/>
      <c r="H88" s="17"/>
      <c r="I88" s="17"/>
      <c r="J88" s="17"/>
    </row>
    <row r="89" customFormat="false" ht="18" hidden="false" customHeight="false" outlineLevel="0" collapsed="false">
      <c r="A89" s="15"/>
      <c r="B89" s="16"/>
      <c r="H89" s="17"/>
      <c r="I89" s="17"/>
      <c r="J89" s="17"/>
    </row>
    <row r="90" customFormat="false" ht="18" hidden="false" customHeight="false" outlineLevel="0" collapsed="false">
      <c r="A90" s="15"/>
      <c r="B90" s="16"/>
      <c r="H90" s="17"/>
      <c r="I90" s="17"/>
      <c r="J90" s="17"/>
    </row>
    <row r="91" customFormat="false" ht="18" hidden="false" customHeight="false" outlineLevel="0" collapsed="false">
      <c r="A91" s="15"/>
      <c r="B91" s="16"/>
      <c r="H91" s="17"/>
      <c r="I91" s="17"/>
      <c r="J91" s="17"/>
    </row>
    <row r="92" customFormat="false" ht="18" hidden="false" customHeight="false" outlineLevel="0" collapsed="false">
      <c r="A92" s="15"/>
      <c r="B92" s="16"/>
      <c r="H92" s="17"/>
      <c r="I92" s="17"/>
      <c r="J92" s="17"/>
    </row>
    <row r="93" customFormat="false" ht="18" hidden="false" customHeight="false" outlineLevel="0" collapsed="false">
      <c r="A93" s="15"/>
      <c r="B93" s="16"/>
      <c r="H93" s="17"/>
      <c r="I93" s="17"/>
      <c r="J93" s="17"/>
    </row>
    <row r="94" customFormat="false" ht="18" hidden="false" customHeight="false" outlineLevel="0" collapsed="false">
      <c r="A94" s="15"/>
      <c r="B94" s="16"/>
      <c r="H94" s="17"/>
      <c r="I94" s="17"/>
      <c r="J94" s="17"/>
    </row>
    <row r="95" customFormat="false" ht="18" hidden="false" customHeight="false" outlineLevel="0" collapsed="false">
      <c r="A95" s="15"/>
      <c r="B95" s="16"/>
      <c r="H95" s="17"/>
      <c r="I95" s="17"/>
      <c r="J95" s="17"/>
    </row>
    <row r="96" customFormat="false" ht="18" hidden="false" customHeight="false" outlineLevel="0" collapsed="false">
      <c r="A96" s="15"/>
      <c r="B96" s="16"/>
      <c r="H96" s="17"/>
      <c r="I96" s="17"/>
      <c r="J96" s="17"/>
    </row>
    <row r="97" customFormat="false" ht="18" hidden="false" customHeight="false" outlineLevel="0" collapsed="false">
      <c r="A97" s="15"/>
      <c r="B97" s="16"/>
      <c r="H97" s="17"/>
      <c r="I97" s="17"/>
      <c r="J97" s="17"/>
    </row>
    <row r="98" customFormat="false" ht="18" hidden="false" customHeight="false" outlineLevel="0" collapsed="false">
      <c r="A98" s="15"/>
      <c r="B98" s="16"/>
      <c r="H98" s="17"/>
      <c r="I98" s="17"/>
      <c r="J98" s="17"/>
    </row>
    <row r="99" customFormat="false" ht="18" hidden="false" customHeight="false" outlineLevel="0" collapsed="false">
      <c r="A99" s="15"/>
      <c r="B99" s="16"/>
      <c r="H99" s="17"/>
      <c r="I99" s="17"/>
      <c r="J99" s="17"/>
    </row>
    <row r="100" customFormat="false" ht="18" hidden="false" customHeight="false" outlineLevel="0" collapsed="false">
      <c r="A100" s="15"/>
      <c r="B100" s="16"/>
      <c r="H100" s="17"/>
      <c r="I100" s="17"/>
      <c r="J100" s="17"/>
    </row>
    <row r="101" customFormat="false" ht="18" hidden="false" customHeight="false" outlineLevel="0" collapsed="false">
      <c r="A101" s="15"/>
      <c r="B101" s="16"/>
      <c r="H101" s="17"/>
      <c r="I101" s="17"/>
      <c r="J101" s="17"/>
    </row>
    <row r="102" customFormat="false" ht="18" hidden="false" customHeight="false" outlineLevel="0" collapsed="false">
      <c r="A102" s="15"/>
      <c r="B102" s="16"/>
      <c r="H102" s="17"/>
      <c r="I102" s="17"/>
      <c r="J102" s="17"/>
    </row>
    <row r="103" customFormat="false" ht="18" hidden="false" customHeight="false" outlineLevel="0" collapsed="false">
      <c r="A103" s="15"/>
      <c r="B103" s="16"/>
      <c r="H103" s="17"/>
      <c r="I103" s="17"/>
      <c r="J103" s="17"/>
    </row>
    <row r="104" customFormat="false" ht="18" hidden="false" customHeight="false" outlineLevel="0" collapsed="false">
      <c r="A104" s="15"/>
      <c r="B104" s="16"/>
      <c r="H104" s="17"/>
      <c r="I104" s="17"/>
      <c r="J104" s="17"/>
    </row>
    <row r="105" customFormat="false" ht="18" hidden="false" customHeight="false" outlineLevel="0" collapsed="false">
      <c r="A105" s="15"/>
      <c r="B105" s="16"/>
      <c r="H105" s="17"/>
      <c r="I105" s="17"/>
      <c r="J105" s="17"/>
    </row>
    <row r="106" customFormat="false" ht="18" hidden="false" customHeight="false" outlineLevel="0" collapsed="false">
      <c r="A106" s="15"/>
      <c r="B106" s="16"/>
      <c r="H106" s="17"/>
      <c r="I106" s="17"/>
      <c r="J106" s="17"/>
    </row>
    <row r="107" customFormat="false" ht="18" hidden="false" customHeight="false" outlineLevel="0" collapsed="false">
      <c r="A107" s="15"/>
      <c r="B107" s="16"/>
      <c r="H107" s="17"/>
      <c r="I107" s="17"/>
      <c r="J107" s="17"/>
    </row>
    <row r="108" customFormat="false" ht="18" hidden="false" customHeight="false" outlineLevel="0" collapsed="false">
      <c r="A108" s="15"/>
      <c r="B108" s="16"/>
      <c r="H108" s="17"/>
      <c r="I108" s="17"/>
      <c r="J108" s="17"/>
    </row>
    <row r="109" customFormat="false" ht="18" hidden="false" customHeight="false" outlineLevel="0" collapsed="false">
      <c r="A109" s="15"/>
      <c r="B109" s="16"/>
      <c r="H109" s="17"/>
      <c r="I109" s="17"/>
      <c r="J109" s="17"/>
    </row>
    <row r="110" customFormat="false" ht="18" hidden="false" customHeight="false" outlineLevel="0" collapsed="false">
      <c r="A110" s="15"/>
      <c r="B110" s="16"/>
      <c r="H110" s="17"/>
      <c r="I110" s="17"/>
      <c r="J110" s="17"/>
    </row>
    <row r="111" customFormat="false" ht="18" hidden="false" customHeight="false" outlineLevel="0" collapsed="false">
      <c r="A111" s="15"/>
      <c r="B111" s="16"/>
      <c r="H111" s="17"/>
      <c r="I111" s="17"/>
      <c r="J111" s="17"/>
    </row>
    <row r="112" customFormat="false" ht="18" hidden="false" customHeight="false" outlineLevel="0" collapsed="false">
      <c r="A112" s="15"/>
      <c r="B112" s="16"/>
      <c r="H112" s="17"/>
      <c r="I112" s="17"/>
      <c r="J112" s="17"/>
    </row>
    <row r="113" customFormat="false" ht="16.5" hidden="false" customHeight="false" outlineLevel="0" collapsed="false">
      <c r="A113" s="15"/>
    </row>
    <row r="114" customFormat="false" ht="16.5" hidden="false" customHeight="false" outlineLevel="0" collapsed="false">
      <c r="A114" s="1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13"/>
  <sheetViews>
    <sheetView showFormulas="false" showGridLines="true" showRowColHeaders="true" showZeros="true" rightToLeft="false" tabSelected="true" showOutlineSymbols="true" defaultGridColor="true" view="normal" topLeftCell="A74" colorId="64" zoomScale="65" zoomScaleNormal="65" zoomScalePageLayoutView="100" workbookViewId="0">
      <selection pane="topLeft" activeCell="P5" activeCellId="0" sqref="P5"/>
    </sheetView>
  </sheetViews>
  <sheetFormatPr defaultColWidth="11.5703125" defaultRowHeight="15" zeroHeight="false" outlineLevelRow="0" outlineLevelCol="0"/>
  <sheetData>
    <row r="1" customFormat="false" ht="16.5" hidden="false" customHeight="false" outlineLevel="0" collapsed="false">
      <c r="A1" s="12" t="s">
        <v>37</v>
      </c>
      <c r="B1" s="13" t="s">
        <v>38</v>
      </c>
      <c r="C1" s="13"/>
      <c r="D1" s="14"/>
      <c r="E1" s="14"/>
      <c r="F1" s="1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customFormat="false" ht="16.5" hidden="false" customHeight="false" outlineLevel="0" collapsed="false">
      <c r="A2" s="1"/>
      <c r="B2" s="1"/>
      <c r="C2" s="1"/>
      <c r="D2" s="1"/>
      <c r="E2" s="11"/>
      <c r="F2" s="11"/>
      <c r="G2" s="1"/>
      <c r="H2" s="1"/>
      <c r="I2" s="1"/>
      <c r="J2" s="1"/>
      <c r="K2" s="1"/>
      <c r="L2" s="1"/>
      <c r="M2" s="2" t="s">
        <v>26</v>
      </c>
      <c r="N2" s="1"/>
      <c r="O2" s="2" t="s">
        <v>1</v>
      </c>
      <c r="P2" s="2" t="s">
        <v>2</v>
      </c>
      <c r="Q2" s="2" t="s">
        <v>3</v>
      </c>
    </row>
    <row r="3" customFormat="false" ht="13.8" hidden="false" customHeight="false" outlineLevel="0" collapsed="false">
      <c r="A3" s="30" t="n">
        <v>2151233.77</v>
      </c>
      <c r="B3" s="8" t="n">
        <v>43454</v>
      </c>
      <c r="C3" s="1" t="s">
        <v>27</v>
      </c>
      <c r="D3" s="1"/>
      <c r="E3" s="1"/>
      <c r="F3" s="11"/>
      <c r="G3" s="17"/>
      <c r="H3" s="17" t="n">
        <f aca="false">IF(AND(DATE($O$3,$P$3,$Q$3)&lt;=$B3, $B3&lt;=DATE($O$4,$P$4,$Q$4)), IF(AND(H4=0, $A3 &gt; 0), 0, 1), IF(AND(H4&lt;&gt;0, $A3 &gt; 0), 1, 0))</f>
        <v>0</v>
      </c>
      <c r="I3" s="17" t="n">
        <f aca="false">IF(OR($H4&lt;&gt;0,$H3=0), 0, 1)</f>
        <v>0</v>
      </c>
      <c r="J3" s="17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K3" s="1"/>
      <c r="L3" s="1"/>
      <c r="M3" s="1"/>
      <c r="N3" s="1" t="s">
        <v>28</v>
      </c>
      <c r="O3" s="1" t="n">
        <v>2022</v>
      </c>
      <c r="P3" s="1" t="n">
        <v>4</v>
      </c>
      <c r="Q3" s="1" t="n">
        <v>1</v>
      </c>
    </row>
    <row r="4" customFormat="false" ht="13.8" hidden="false" customHeight="false" outlineLevel="0" collapsed="false">
      <c r="A4" s="30" t="n">
        <v>-2172890.75</v>
      </c>
      <c r="B4" s="8" t="n">
        <v>43465</v>
      </c>
      <c r="C4" s="1"/>
      <c r="D4" s="1"/>
      <c r="E4" s="1"/>
      <c r="F4" s="11"/>
      <c r="G4" s="17"/>
      <c r="H4" s="17" t="n">
        <f aca="false">IF(AND(DATE($O$3,$P$3,$Q$3)&lt;=$B4, $B4&lt;=DATE($O$4,$P$4,$Q$4)), IF(AND(H5=0, $A4 &gt; 0), 0, 1), IF(AND(H5&lt;&gt;0, $A4 &gt; 0), 1, 0))</f>
        <v>0</v>
      </c>
      <c r="I4" s="17" t="n">
        <f aca="false">IF(OR($H5&lt;&gt;0,$H4=0), 0, 1)</f>
        <v>0</v>
      </c>
      <c r="J4" s="17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K4" s="1"/>
      <c r="L4" s="1"/>
      <c r="M4" s="1"/>
      <c r="N4" s="1" t="s">
        <v>29</v>
      </c>
      <c r="O4" s="1" t="n">
        <v>2023</v>
      </c>
      <c r="P4" s="1" t="n">
        <v>9</v>
      </c>
      <c r="Q4" s="1" t="n">
        <v>1</v>
      </c>
    </row>
    <row r="5" customFormat="false" ht="13.8" hidden="false" customHeight="false" outlineLevel="0" collapsed="false">
      <c r="A5" s="30" t="n">
        <v>2172890.75</v>
      </c>
      <c r="B5" s="8" t="n">
        <v>43465</v>
      </c>
      <c r="C5" s="1"/>
      <c r="D5" s="1"/>
      <c r="E5" s="2" t="s">
        <v>30</v>
      </c>
      <c r="F5" s="18"/>
      <c r="G5" s="17"/>
      <c r="H5" s="17" t="n">
        <f aca="false">IF(AND(DATE($O$3,$P$3,$Q$3)&lt;=$B5, $B5&lt;=DATE($O$4,$P$4,$Q$4)), IF(AND(H6=0, $A5 &gt; 0), 0, 1), IF(AND(H6&lt;&gt;0, $A5 &gt; 0), 1, 0))</f>
        <v>0</v>
      </c>
      <c r="I5" s="17" t="n">
        <f aca="false">IF(OR($H6&lt;&gt;0,$H5=0), 0, 1)</f>
        <v>0</v>
      </c>
      <c r="J5" s="17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K5" s="1"/>
      <c r="L5" s="1"/>
      <c r="M5" s="1"/>
      <c r="N5" s="1" t="s">
        <v>31</v>
      </c>
      <c r="O5" s="19" t="n">
        <f aca="false">SUM(J:J)</f>
        <v>-0.912420233894778</v>
      </c>
      <c r="P5" s="1"/>
      <c r="Q5" s="1"/>
    </row>
    <row r="6" customFormat="false" ht="13.8" hidden="false" customHeight="false" outlineLevel="0" collapsed="false">
      <c r="A6" s="30" t="n">
        <v>608.87</v>
      </c>
      <c r="B6" s="8" t="n">
        <v>43501</v>
      </c>
      <c r="C6" s="1"/>
      <c r="D6" s="1"/>
      <c r="E6" s="20" t="s">
        <v>5</v>
      </c>
      <c r="F6" s="22" t="n">
        <v>0.0335859656086213</v>
      </c>
      <c r="G6" s="22"/>
      <c r="H6" s="17" t="n">
        <f aca="false">IF(AND(DATE($O$3,$P$3,$Q$3)&lt;=$B6, $B6&lt;=DATE($O$4,$P$4,$Q$4)), IF(AND(H7=0, $A6 &gt; 0), 0, 1), IF(AND(H7&lt;&gt;0, $A6 &gt; 0), 1, 0))</f>
        <v>0</v>
      </c>
      <c r="I6" s="17" t="n">
        <f aca="false">IF(OR($H7&lt;&gt;0,$H6=0), 0, 1)</f>
        <v>0</v>
      </c>
      <c r="J6" s="17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  <c r="K6" s="1"/>
      <c r="L6" s="1"/>
      <c r="M6" s="1"/>
      <c r="N6" s="1"/>
      <c r="O6" s="1"/>
      <c r="P6" s="1"/>
      <c r="Q6" s="1"/>
    </row>
    <row r="7" customFormat="false" ht="13.8" hidden="false" customHeight="false" outlineLevel="0" collapsed="false">
      <c r="A7" s="30" t="n">
        <v>2395.68</v>
      </c>
      <c r="B7" s="8" t="n">
        <v>43501</v>
      </c>
      <c r="C7" s="1"/>
      <c r="D7" s="1"/>
      <c r="E7" s="20" t="s">
        <v>6</v>
      </c>
      <c r="F7" s="22" t="n">
        <v>0.0335859656086213</v>
      </c>
      <c r="G7" s="22"/>
      <c r="H7" s="17" t="n">
        <f aca="false">IF(AND(DATE($O$3,$P$3,$Q$3)&lt;=$B7, $B7&lt;=DATE($O$4,$P$4,$Q$4)), IF(AND(H8=0, $A7 &gt; 0), 0, 1), IF(AND(H8&lt;&gt;0, $A7 &gt; 0), 1, 0))</f>
        <v>0</v>
      </c>
      <c r="I7" s="17" t="n">
        <f aca="false">IF(OR($H8&lt;&gt;0,$H7=0), 0, 1)</f>
        <v>0</v>
      </c>
      <c r="J7" s="17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K7" s="1"/>
      <c r="L7" s="1"/>
      <c r="M7" s="1"/>
      <c r="N7" s="1"/>
      <c r="O7" s="2"/>
      <c r="P7" s="2"/>
      <c r="Q7" s="2"/>
    </row>
    <row r="8" customFormat="false" ht="13.8" hidden="false" customHeight="false" outlineLevel="0" collapsed="false">
      <c r="A8" s="30" t="n">
        <v>-7500</v>
      </c>
      <c r="B8" s="8" t="n">
        <v>43545</v>
      </c>
      <c r="C8" s="1"/>
      <c r="D8" s="1"/>
      <c r="E8" s="20" t="s">
        <v>7</v>
      </c>
      <c r="F8" s="22" t="n">
        <v>0.151789218187332</v>
      </c>
      <c r="G8" s="22"/>
      <c r="H8" s="17" t="n">
        <f aca="false">IF(AND(DATE($O$3,$P$3,$Q$3)&lt;=$B8, $B8&lt;=DATE($O$4,$P$4,$Q$4)), IF(AND(H9=0, $A8 &gt; 0), 0, 1), IF(AND(H9&lt;&gt;0, $A8 &gt; 0), 1, 0))</f>
        <v>0</v>
      </c>
      <c r="I8" s="17" t="n">
        <f aca="false">IF(OR($H9&lt;&gt;0,$H8=0), 0, 1)</f>
        <v>0</v>
      </c>
      <c r="J8" s="17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K8" s="1"/>
      <c r="L8" s="1"/>
      <c r="M8" s="2"/>
      <c r="N8" s="1"/>
      <c r="O8" s="1"/>
      <c r="P8" s="1"/>
      <c r="Q8" s="1"/>
    </row>
    <row r="9" customFormat="false" ht="13.8" hidden="false" customHeight="false" outlineLevel="0" collapsed="false">
      <c r="A9" s="30" t="n">
        <v>-2389491.16</v>
      </c>
      <c r="B9" s="8" t="n">
        <v>43555</v>
      </c>
      <c r="C9" s="1"/>
      <c r="D9" s="1"/>
      <c r="E9" s="20" t="s">
        <v>8</v>
      </c>
      <c r="F9" s="22" t="n">
        <v>0.0432835310697556</v>
      </c>
      <c r="G9" s="22"/>
      <c r="H9" s="17" t="n">
        <f aca="false">IF(AND(DATE($O$3,$P$3,$Q$3)&lt;=$B9, $B9&lt;=DATE($O$4,$P$4,$Q$4)), IF(AND(H10=0, $A9 &gt; 0), 0, 1), IF(AND(H10&lt;&gt;0, $A9 &gt; 0), 1, 0))</f>
        <v>0</v>
      </c>
      <c r="I9" s="17" t="n">
        <f aca="false">IF(OR($H10&lt;&gt;0,$H9=0), 0, 1)</f>
        <v>0</v>
      </c>
      <c r="J9" s="17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  <c r="K9" s="1"/>
      <c r="L9" s="1"/>
      <c r="M9" s="1"/>
      <c r="N9" s="1"/>
      <c r="O9" s="1"/>
      <c r="P9" s="1"/>
      <c r="Q9" s="1"/>
    </row>
    <row r="10" customFormat="false" ht="13.8" hidden="false" customHeight="false" outlineLevel="0" collapsed="false">
      <c r="A10" s="30" t="n">
        <v>2389490.16</v>
      </c>
      <c r="B10" s="8" t="n">
        <v>43555</v>
      </c>
      <c r="C10" s="1"/>
      <c r="D10" s="1"/>
      <c r="E10" s="20" t="s">
        <v>9</v>
      </c>
      <c r="F10" s="22" t="n">
        <v>0.0432835310697556</v>
      </c>
      <c r="G10" s="22"/>
      <c r="H10" s="17" t="n">
        <f aca="false">IF(AND(DATE($O$3,$P$3,$Q$3)&lt;=$B10, $B10&lt;=DATE($O$4,$P$4,$Q$4)), IF(AND(H11=0, $A10 &gt; 0), 0, 1), IF(AND(H11&lt;&gt;0, $A10 &gt; 0), 1, 0))</f>
        <v>0</v>
      </c>
      <c r="I10" s="17" t="n">
        <f aca="false">IF(OR($H11&lt;&gt;0,$H10=0), 0, 1)</f>
        <v>0</v>
      </c>
      <c r="J10" s="17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  <c r="K10" s="1"/>
      <c r="L10" s="1"/>
      <c r="M10" s="1"/>
      <c r="N10" s="1"/>
      <c r="O10" s="1"/>
      <c r="P10" s="1"/>
      <c r="Q10" s="1"/>
    </row>
    <row r="11" customFormat="false" ht="13.8" hidden="false" customHeight="false" outlineLevel="0" collapsed="false">
      <c r="A11" s="30" t="n">
        <v>-7500</v>
      </c>
      <c r="B11" s="8" t="n">
        <v>43556</v>
      </c>
      <c r="C11" s="1"/>
      <c r="D11" s="1"/>
      <c r="E11" s="20" t="s">
        <v>10</v>
      </c>
      <c r="F11" s="22" t="n">
        <v>0.0432835310697556</v>
      </c>
      <c r="G11" s="22"/>
      <c r="H11" s="17" t="n">
        <f aca="false">IF(AND(DATE($O$3,$P$3,$Q$3)&lt;=$B11, $B11&lt;=DATE($O$4,$P$4,$Q$4)), IF(AND(H12=0, $A11 &gt; 0), 0, 1), IF(AND(H12&lt;&gt;0, $A11 &gt; 0), 1, 0))</f>
        <v>0</v>
      </c>
      <c r="I11" s="17" t="n">
        <f aca="false">IF(OR($H12&lt;&gt;0,$H11=0), 0, 1)</f>
        <v>0</v>
      </c>
      <c r="J11" s="17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  <c r="K11" s="1"/>
      <c r="L11" s="1"/>
      <c r="M11" s="1"/>
      <c r="N11" s="1"/>
      <c r="O11" s="1"/>
      <c r="P11" s="1"/>
      <c r="Q11" s="1"/>
    </row>
    <row r="12" customFormat="false" ht="13.8" hidden="false" customHeight="false" outlineLevel="0" collapsed="false">
      <c r="A12" s="30" t="n">
        <v>-7500</v>
      </c>
      <c r="B12" s="8" t="n">
        <v>43586</v>
      </c>
      <c r="C12" s="1"/>
      <c r="D12" s="1"/>
      <c r="E12" s="20" t="s">
        <v>11</v>
      </c>
      <c r="F12" s="22" t="n">
        <v>0.0432835310697556</v>
      </c>
      <c r="G12" s="22"/>
      <c r="H12" s="17" t="n">
        <f aca="false">IF(AND(DATE($O$3,$P$3,$Q$3)&lt;=$B12, $B12&lt;=DATE($O$4,$P$4,$Q$4)), IF(AND(H13=0, $A12 &gt; 0), 0, 1), IF(AND(H13&lt;&gt;0, $A12 &gt; 0), 1, 0))</f>
        <v>0</v>
      </c>
      <c r="I12" s="17" t="n">
        <f aca="false">IF(OR($H13&lt;&gt;0,$H12=0), 0, 1)</f>
        <v>0</v>
      </c>
      <c r="J12" s="17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  <c r="K12" s="1"/>
      <c r="L12" s="1"/>
      <c r="M12" s="1"/>
      <c r="N12" s="1"/>
      <c r="O12" s="1"/>
      <c r="P12" s="1"/>
      <c r="Q12" s="1"/>
    </row>
    <row r="13" customFormat="false" ht="13.8" hidden="false" customHeight="false" outlineLevel="0" collapsed="false">
      <c r="A13" s="30" t="n">
        <v>-7500</v>
      </c>
      <c r="B13" s="8" t="n">
        <v>43617</v>
      </c>
      <c r="C13" s="1"/>
      <c r="D13" s="1"/>
      <c r="E13" s="20" t="n">
        <v>2019</v>
      </c>
      <c r="F13" s="22" t="n">
        <v>0</v>
      </c>
      <c r="G13" s="22"/>
      <c r="H13" s="17" t="n">
        <f aca="false">IF(AND(DATE($O$3,$P$3,$Q$3)&lt;=$B13, $B13&lt;=DATE($O$4,$P$4,$Q$4)), IF(AND(H14=0, $A13 &gt; 0), 0, 1), IF(AND(H14&lt;&gt;0, $A13 &gt; 0), 1, 0))</f>
        <v>0</v>
      </c>
      <c r="I13" s="17" t="n">
        <f aca="false">IF(OR($H14&lt;&gt;0,$H13=0), 0, 1)</f>
        <v>0</v>
      </c>
      <c r="J13" s="17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  <c r="K13" s="1"/>
      <c r="L13" s="1"/>
      <c r="M13" s="1"/>
      <c r="N13" s="1"/>
      <c r="O13" s="1"/>
      <c r="P13" s="1"/>
      <c r="Q13" s="1"/>
    </row>
    <row r="14" customFormat="false" ht="13.8" hidden="false" customHeight="false" outlineLevel="0" collapsed="false">
      <c r="A14" s="30" t="n">
        <v>-2415234.97</v>
      </c>
      <c r="B14" s="8" t="n">
        <v>43646</v>
      </c>
      <c r="C14" s="1"/>
      <c r="D14" s="1"/>
      <c r="E14" s="20" t="n">
        <v>2020</v>
      </c>
      <c r="F14" s="22" t="n">
        <v>0</v>
      </c>
      <c r="G14" s="22"/>
      <c r="H14" s="17" t="n">
        <f aca="false">IF(AND(DATE($O$3,$P$3,$Q$3)&lt;=$B14, $B14&lt;=DATE($O$4,$P$4,$Q$4)), IF(AND(H15=0, $A14 &gt; 0), 0, 1), IF(AND(H15&lt;&gt;0, $A14 &gt; 0), 1, 0))</f>
        <v>0</v>
      </c>
      <c r="I14" s="17" t="n">
        <f aca="false">IF(OR($H15&lt;&gt;0,$H14=0), 0, 1)</f>
        <v>0</v>
      </c>
      <c r="J14" s="17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  <c r="K14" s="1"/>
      <c r="L14" s="1"/>
      <c r="M14" s="1"/>
      <c r="N14" s="1"/>
      <c r="O14" s="1"/>
      <c r="P14" s="1"/>
      <c r="Q14" s="1"/>
    </row>
    <row r="15" customFormat="false" ht="13.8" hidden="false" customHeight="false" outlineLevel="0" collapsed="false">
      <c r="A15" s="30" t="n">
        <v>2415234.97</v>
      </c>
      <c r="B15" s="8" t="n">
        <v>43646</v>
      </c>
      <c r="C15" s="1"/>
      <c r="D15" s="1"/>
      <c r="E15" s="20" t="n">
        <v>2021</v>
      </c>
      <c r="F15" s="22" t="n">
        <v>0</v>
      </c>
      <c r="G15" s="22"/>
      <c r="H15" s="17" t="n">
        <f aca="false">IF(AND(DATE($O$3,$P$3,$Q$3)&lt;=$B15, $B15&lt;=DATE($O$4,$P$4,$Q$4)), IF(AND(H16=0, $A15 &gt; 0), 0, 1), IF(AND(H16&lt;&gt;0, $A15 &gt; 0), 1, 0))</f>
        <v>0</v>
      </c>
      <c r="I15" s="17" t="n">
        <f aca="false">IF(OR($H16&lt;&gt;0,$H15=0), 0, 1)</f>
        <v>0</v>
      </c>
      <c r="J15" s="17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  <c r="K15" s="1"/>
      <c r="L15" s="1"/>
      <c r="M15" s="1"/>
      <c r="N15" s="1"/>
      <c r="O15" s="1"/>
      <c r="P15" s="1"/>
      <c r="Q15" s="1"/>
    </row>
    <row r="16" customFormat="false" ht="13.8" hidden="false" customHeight="false" outlineLevel="0" collapsed="false">
      <c r="A16" s="30" t="n">
        <v>-7500</v>
      </c>
      <c r="B16" s="8" t="n">
        <v>43647</v>
      </c>
      <c r="C16" s="1"/>
      <c r="D16" s="1"/>
      <c r="E16" s="20" t="n">
        <v>2022</v>
      </c>
      <c r="F16" s="22" t="n">
        <v>-0.0898299306631088</v>
      </c>
      <c r="G16" s="22"/>
      <c r="H16" s="17" t="n">
        <f aca="false">IF(AND(DATE($O$3,$P$3,$Q$3)&lt;=$B16, $B16&lt;=DATE($O$4,$P$4,$Q$4)), IF(AND(H17=0, $A16 &gt; 0), 0, 1), IF(AND(H17&lt;&gt;0, $A16 &gt; 0), 1, 0))</f>
        <v>0</v>
      </c>
      <c r="I16" s="17" t="n">
        <f aca="false">IF(OR($H17&lt;&gt;0,$H16=0), 0, 1)</f>
        <v>0</v>
      </c>
      <c r="J16" s="17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  <c r="K16" s="1"/>
      <c r="L16" s="1"/>
      <c r="M16" s="1"/>
      <c r="N16" s="1"/>
      <c r="O16" s="1"/>
      <c r="P16" s="1"/>
      <c r="Q16" s="1"/>
    </row>
    <row r="17" customFormat="false" ht="13.8" hidden="false" customHeight="false" outlineLevel="0" collapsed="false">
      <c r="A17" s="30" t="n">
        <v>-7500</v>
      </c>
      <c r="B17" s="8" t="n">
        <v>43678</v>
      </c>
      <c r="C17" s="1"/>
      <c r="D17" s="1"/>
      <c r="E17" s="20" t="n">
        <v>2023</v>
      </c>
      <c r="F17" s="22" t="n">
        <v>0.169293493032455</v>
      </c>
      <c r="G17" s="22"/>
      <c r="H17" s="17" t="n">
        <f aca="false">IF(AND(DATE($O$3,$P$3,$Q$3)&lt;=$B17, $B17&lt;=DATE($O$4,$P$4,$Q$4)), IF(AND(H18=0, $A17 &gt; 0), 0, 1), IF(AND(H18&lt;&gt;0, $A17 &gt; 0), 1, 0))</f>
        <v>0</v>
      </c>
      <c r="I17" s="17" t="n">
        <f aca="false">IF(OR($H18&lt;&gt;0,$H17=0), 0, 1)</f>
        <v>0</v>
      </c>
      <c r="J17" s="17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  <c r="K17" s="1"/>
      <c r="L17" s="1"/>
      <c r="M17" s="1"/>
      <c r="N17" s="1"/>
      <c r="O17" s="1"/>
      <c r="P17" s="1"/>
      <c r="Q17" s="1"/>
    </row>
    <row r="18" customFormat="false" ht="13.8" hidden="false" customHeight="false" outlineLevel="0" collapsed="false">
      <c r="A18" s="30" t="n">
        <v>-150000</v>
      </c>
      <c r="B18" s="8" t="n">
        <v>43678</v>
      </c>
      <c r="C18" s="1"/>
      <c r="D18" s="1"/>
      <c r="E18" s="20" t="n">
        <v>2024</v>
      </c>
      <c r="F18" s="22" t="n">
        <v>0.0335859656086213</v>
      </c>
      <c r="G18" s="22"/>
      <c r="H18" s="17" t="n">
        <f aca="false">IF(AND(DATE($O$3,$P$3,$Q$3)&lt;=$B18, $B18&lt;=DATE($O$4,$P$4,$Q$4)), IF(AND(H19=0, $A18 &gt; 0), 0, 1), IF(AND(H19&lt;&gt;0, $A18 &gt; 0), 1, 0))</f>
        <v>0</v>
      </c>
      <c r="I18" s="17" t="n">
        <f aca="false">IF(OR($H19&lt;&gt;0,$H18=0), 0, 1)</f>
        <v>0</v>
      </c>
      <c r="J18" s="17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  <c r="K18" s="1"/>
      <c r="L18" s="1"/>
      <c r="M18" s="1"/>
      <c r="N18" s="1"/>
      <c r="O18" s="1"/>
      <c r="P18" s="1"/>
      <c r="Q18" s="1"/>
    </row>
    <row r="19" customFormat="false" ht="13.8" hidden="false" customHeight="false" outlineLevel="0" collapsed="false">
      <c r="A19" s="30" t="n">
        <v>-7500</v>
      </c>
      <c r="B19" s="8" t="n">
        <v>43709</v>
      </c>
      <c r="C19" s="1"/>
      <c r="D19" s="1"/>
      <c r="E19" s="20" t="n">
        <v>2025</v>
      </c>
      <c r="F19" s="24" t="n">
        <v>0</v>
      </c>
      <c r="G19" s="17"/>
      <c r="H19" s="17" t="n">
        <f aca="false">IF(AND(DATE($O$3,$P$3,$Q$3)&lt;=$B19, $B19&lt;=DATE($O$4,$P$4,$Q$4)), IF(AND(H20=0, $A19 &gt; 0), 0, 1), IF(AND(H20&lt;&gt;0, $A19 &gt; 0), 1, 0))</f>
        <v>0</v>
      </c>
      <c r="I19" s="17" t="n">
        <f aca="false">IF(OR($H20&lt;&gt;0,$H19=0), 0, 1)</f>
        <v>0</v>
      </c>
      <c r="J19" s="17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  <c r="K19" s="1"/>
      <c r="L19" s="1"/>
      <c r="M19" s="1"/>
      <c r="N19" s="1"/>
      <c r="O19" s="1"/>
      <c r="P19" s="1"/>
      <c r="Q19" s="1"/>
    </row>
    <row r="20" customFormat="false" ht="13.8" hidden="false" customHeight="false" outlineLevel="0" collapsed="false">
      <c r="A20" s="30" t="n">
        <v>-2312406.51985</v>
      </c>
      <c r="B20" s="8" t="n">
        <v>43738</v>
      </c>
      <c r="C20" s="1"/>
      <c r="D20" s="1"/>
      <c r="E20" s="20" t="n">
        <v>2026</v>
      </c>
      <c r="F20" s="24" t="n">
        <v>0</v>
      </c>
      <c r="G20" s="17"/>
      <c r="H20" s="17" t="n">
        <f aca="false">IF(AND(DATE($O$3,$P$3,$Q$3)&lt;=$B20, $B20&lt;=DATE($O$4,$P$4,$Q$4)), IF(AND(H21=0, $A20 &gt; 0), 0, 1), IF(AND(H21&lt;&gt;0, $A20 &gt; 0), 1, 0))</f>
        <v>0</v>
      </c>
      <c r="I20" s="17" t="n">
        <f aca="false">IF(OR($H21&lt;&gt;0,$H20=0), 0, 1)</f>
        <v>0</v>
      </c>
      <c r="J20" s="17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  <c r="K20" s="1"/>
      <c r="L20" s="1"/>
      <c r="M20" s="1"/>
      <c r="N20" s="1"/>
      <c r="O20" s="1"/>
      <c r="P20" s="1"/>
      <c r="Q20" s="1"/>
    </row>
    <row r="21" customFormat="false" ht="13.8" hidden="false" customHeight="false" outlineLevel="0" collapsed="false">
      <c r="A21" s="30" t="n">
        <v>2312406.51985</v>
      </c>
      <c r="B21" s="8" t="n">
        <v>43738</v>
      </c>
      <c r="C21" s="1"/>
      <c r="D21" s="1"/>
      <c r="E21" s="20" t="n">
        <v>2027</v>
      </c>
      <c r="F21" s="24" t="n">
        <v>0</v>
      </c>
      <c r="G21" s="17"/>
      <c r="H21" s="17" t="n">
        <f aca="false">IF(AND(DATE($O$3,$P$3,$Q$3)&lt;=$B21, $B21&lt;=DATE($O$4,$P$4,$Q$4)), IF(AND(H22=0, $A21 &gt; 0), 0, 1), IF(AND(H22&lt;&gt;0, $A21 &gt; 0), 1, 0))</f>
        <v>0</v>
      </c>
      <c r="I21" s="17" t="n">
        <f aca="false">IF(OR($H22&lt;&gt;0,$H21=0), 0, 1)</f>
        <v>0</v>
      </c>
      <c r="J21" s="17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  <c r="K21" s="1"/>
      <c r="L21" s="1"/>
      <c r="M21" s="1"/>
      <c r="N21" s="1"/>
      <c r="O21" s="1"/>
      <c r="P21" s="1"/>
      <c r="Q21" s="1"/>
    </row>
    <row r="22" customFormat="false" ht="13.8" hidden="false" customHeight="false" outlineLevel="0" collapsed="false">
      <c r="A22" s="30" t="n">
        <v>-7500</v>
      </c>
      <c r="B22" s="8" t="n">
        <v>43739</v>
      </c>
      <c r="C22" s="1"/>
      <c r="D22" s="1"/>
      <c r="E22" s="20" t="n">
        <v>2028</v>
      </c>
      <c r="F22" s="24" t="n">
        <v>0</v>
      </c>
      <c r="G22" s="17"/>
      <c r="H22" s="17" t="n">
        <f aca="false">IF(AND(DATE($O$3,$P$3,$Q$3)&lt;=$B22, $B22&lt;=DATE($O$4,$P$4,$Q$4)), IF(AND(H23=0, $A22 &gt; 0), 0, 1), IF(AND(H23&lt;&gt;0, $A22 &gt; 0), 1, 0))</f>
        <v>0</v>
      </c>
      <c r="I22" s="17" t="n">
        <f aca="false">IF(OR($H23&lt;&gt;0,$H22=0), 0, 1)</f>
        <v>0</v>
      </c>
      <c r="J22" s="17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  <c r="K22" s="1"/>
      <c r="L22" s="1"/>
      <c r="M22" s="1"/>
      <c r="N22" s="1"/>
      <c r="O22" s="1"/>
      <c r="P22" s="1"/>
      <c r="Q22" s="1"/>
    </row>
    <row r="23" customFormat="false" ht="13.8" hidden="false" customHeight="false" outlineLevel="0" collapsed="false">
      <c r="A23" s="30" t="n">
        <v>-7500</v>
      </c>
      <c r="B23" s="8" t="n">
        <v>43770</v>
      </c>
      <c r="C23" s="1"/>
      <c r="D23" s="1"/>
      <c r="E23" s="20" t="n">
        <v>2029</v>
      </c>
      <c r="F23" s="24" t="n">
        <v>0</v>
      </c>
      <c r="G23" s="17"/>
      <c r="H23" s="17" t="n">
        <f aca="false">IF(AND(DATE($O$3,$P$3,$Q$3)&lt;=$B23, $B23&lt;=DATE($O$4,$P$4,$Q$4)), IF(AND(H24=0, $A23 &gt; 0), 0, 1), IF(AND(H24&lt;&gt;0, $A23 &gt; 0), 1, 0))</f>
        <v>0</v>
      </c>
      <c r="I23" s="17" t="n">
        <f aca="false">IF(OR($H24&lt;&gt;0,$H23=0), 0, 1)</f>
        <v>0</v>
      </c>
      <c r="J23" s="17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  <c r="K23" s="1"/>
      <c r="L23" s="1"/>
      <c r="M23" s="1"/>
      <c r="N23" s="1"/>
      <c r="O23" s="1"/>
      <c r="P23" s="1"/>
      <c r="Q23" s="1"/>
    </row>
    <row r="24" customFormat="false" ht="13.8" hidden="false" customHeight="false" outlineLevel="0" collapsed="false">
      <c r="A24" s="30" t="n">
        <v>-7500</v>
      </c>
      <c r="B24" s="8" t="n">
        <v>43798</v>
      </c>
      <c r="C24" s="1"/>
      <c r="D24" s="1"/>
      <c r="E24" s="20" t="n">
        <v>2030</v>
      </c>
      <c r="F24" s="24" t="n">
        <v>0</v>
      </c>
      <c r="G24" s="17"/>
      <c r="H24" s="17" t="n">
        <f aca="false">IF(AND(DATE($O$3,$P$3,$Q$3)&lt;=$B24, $B24&lt;=DATE($O$4,$P$4,$Q$4)), IF(AND(H25=0, $A24 &gt; 0), 0, 1), IF(AND(H25&lt;&gt;0, $A24 &gt; 0), 1, 0))</f>
        <v>0</v>
      </c>
      <c r="I24" s="17" t="n">
        <f aca="false">IF(OR($H25&lt;&gt;0,$H24=0), 0, 1)</f>
        <v>0</v>
      </c>
      <c r="J24" s="17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  <c r="K24" s="1"/>
      <c r="L24" s="1"/>
      <c r="M24" s="1"/>
      <c r="N24" s="1"/>
      <c r="O24" s="1"/>
      <c r="P24" s="1"/>
      <c r="Q24" s="1"/>
    </row>
    <row r="25" customFormat="false" ht="13.8" hidden="false" customHeight="false" outlineLevel="0" collapsed="false">
      <c r="A25" s="30" t="n">
        <v>-2376988.76</v>
      </c>
      <c r="B25" s="8" t="n">
        <v>43830</v>
      </c>
      <c r="C25" s="1"/>
      <c r="D25" s="1"/>
      <c r="E25" s="20" t="n">
        <v>2031</v>
      </c>
      <c r="F25" s="24" t="n">
        <v>0</v>
      </c>
      <c r="G25" s="17"/>
      <c r="H25" s="17" t="n">
        <f aca="false">IF(AND(DATE($O$3,$P$3,$Q$3)&lt;=$B25, $B25&lt;=DATE($O$4,$P$4,$Q$4)), IF(AND(H26=0, $A25 &gt; 0), 0, 1), IF(AND(H26&lt;&gt;0, $A25 &gt; 0), 1, 0))</f>
        <v>0</v>
      </c>
      <c r="I25" s="17" t="n">
        <f aca="false">IF(OR($H26&lt;&gt;0,$H25=0), 0, 1)</f>
        <v>0</v>
      </c>
      <c r="J25" s="17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  <c r="K25" s="1"/>
      <c r="L25" s="1"/>
      <c r="M25" s="1"/>
      <c r="N25" s="1"/>
      <c r="O25" s="1"/>
      <c r="P25" s="1"/>
      <c r="Q25" s="1"/>
    </row>
    <row r="26" customFormat="false" ht="13.8" hidden="false" customHeight="false" outlineLevel="0" collapsed="false">
      <c r="A26" s="30" t="n">
        <v>2376988.76</v>
      </c>
      <c r="B26" s="8" t="n">
        <v>43830</v>
      </c>
      <c r="C26" s="1"/>
      <c r="D26" s="1"/>
      <c r="E26" s="1"/>
      <c r="F26" s="11"/>
      <c r="G26" s="17"/>
      <c r="H26" s="17" t="n">
        <f aca="false">IF(AND(DATE($O$3,$P$3,$Q$3)&lt;=$B26, $B26&lt;=DATE($O$4,$P$4,$Q$4)), IF(AND(H27=0, $A26 &gt; 0), 0, 1), IF(AND(H27&lt;&gt;0, $A26 &gt; 0), 1, 0))</f>
        <v>0</v>
      </c>
      <c r="I26" s="17" t="n">
        <f aca="false">IF(OR($H27&lt;&gt;0,$H26=0), 0, 1)</f>
        <v>0</v>
      </c>
      <c r="J26" s="17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  <c r="K26" s="1"/>
      <c r="L26" s="1"/>
      <c r="M26" s="1"/>
      <c r="N26" s="1"/>
      <c r="O26" s="1"/>
      <c r="P26" s="1"/>
      <c r="Q26" s="1"/>
    </row>
    <row r="27" customFormat="false" ht="13.8" hidden="false" customHeight="false" outlineLevel="0" collapsed="false">
      <c r="A27" s="30" t="n">
        <v>-7500</v>
      </c>
      <c r="B27" s="8" t="n">
        <v>43861</v>
      </c>
      <c r="C27" s="27"/>
      <c r="D27" s="1"/>
      <c r="E27" s="1"/>
      <c r="F27" s="11"/>
      <c r="G27" s="17"/>
      <c r="H27" s="17" t="n">
        <f aca="false">IF(AND(DATE($O$3,$P$3,$Q$3)&lt;=$B27, $B27&lt;=DATE($O$4,$P$4,$Q$4)), IF(AND(H28=0, $A27 &gt; 0), 0, 1), IF(AND(H28&lt;&gt;0, $A27 &gt; 0), 1, 0))</f>
        <v>0</v>
      </c>
      <c r="I27" s="17" t="n">
        <f aca="false">IF(OR($H28&lt;&gt;0,$H27=0), 0, 1)</f>
        <v>0</v>
      </c>
      <c r="J27" s="17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  <c r="K27" s="1"/>
      <c r="L27" s="1"/>
      <c r="M27" s="1"/>
      <c r="N27" s="1"/>
      <c r="O27" s="1"/>
      <c r="P27" s="1"/>
      <c r="Q27" s="1"/>
    </row>
    <row r="28" customFormat="false" ht="13.8" hidden="false" customHeight="false" outlineLevel="0" collapsed="false">
      <c r="A28" s="30" t="n">
        <v>-7500</v>
      </c>
      <c r="B28" s="8" t="n">
        <v>43889</v>
      </c>
      <c r="C28" s="1"/>
      <c r="D28" s="1"/>
      <c r="E28" s="1"/>
      <c r="F28" s="11"/>
      <c r="G28" s="17"/>
      <c r="H28" s="17" t="n">
        <f aca="false">IF(AND(DATE($O$3,$P$3,$Q$3)&lt;=$B28, $B28&lt;=DATE($O$4,$P$4,$Q$4)), IF(AND(H29=0, $A28 &gt; 0), 0, 1), IF(AND(H29&lt;&gt;0, $A28 &gt; 0), 1, 0))</f>
        <v>0</v>
      </c>
      <c r="I28" s="17" t="n">
        <f aca="false">IF(OR($H29&lt;&gt;0,$H28=0), 0, 1)</f>
        <v>0</v>
      </c>
      <c r="J28" s="17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  <c r="K28" s="1"/>
      <c r="L28" s="1"/>
      <c r="M28" s="1"/>
      <c r="N28" s="1"/>
      <c r="O28" s="1"/>
      <c r="P28" s="1"/>
      <c r="Q28" s="1"/>
    </row>
    <row r="29" customFormat="false" ht="13.8" hidden="false" customHeight="false" outlineLevel="0" collapsed="false">
      <c r="A29" s="30" t="n">
        <v>-200000</v>
      </c>
      <c r="B29" s="8" t="n">
        <v>43894</v>
      </c>
      <c r="H29" s="17" t="n">
        <f aca="false">IF(AND(DATE($O$3,$P$3,$Q$3)&lt;=$B29, $B29&lt;=DATE($O$4,$P$4,$Q$4)), IF(AND(H30=0, $A29 &gt; 0), 0, 1), IF(AND(H30&lt;&gt;0, $A29 &gt; 0), 1, 0))</f>
        <v>0</v>
      </c>
      <c r="I29" s="17" t="n">
        <f aca="false">IF(OR($H30&lt;&gt;0,$H29=0), 0, 1)</f>
        <v>0</v>
      </c>
      <c r="J29" s="17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</row>
    <row r="30" customFormat="false" ht="13.8" hidden="false" customHeight="false" outlineLevel="0" collapsed="false">
      <c r="A30" s="30" t="n">
        <v>0</v>
      </c>
      <c r="B30" s="8" t="n">
        <v>43919</v>
      </c>
      <c r="H30" s="17" t="n">
        <f aca="false">IF(AND(DATE($O$3,$P$3,$Q$3)&lt;=$B30, $B30&lt;=DATE($O$4,$P$4,$Q$4)), IF(AND(H31=0, $A30 &gt; 0), 0, 1), IF(AND(H31&lt;&gt;0, $A30 &gt; 0), 1, 0))</f>
        <v>0</v>
      </c>
      <c r="I30" s="17" t="n">
        <f aca="false">IF(OR($H31&lt;&gt;0,$H30=0), 0, 1)</f>
        <v>0</v>
      </c>
      <c r="J30" s="17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3.8" hidden="false" customHeight="false" outlineLevel="0" collapsed="false">
      <c r="A31" s="30" t="n">
        <v>-1894269.93</v>
      </c>
      <c r="B31" s="8" t="n">
        <v>43921</v>
      </c>
      <c r="H31" s="17" t="n">
        <f aca="false">IF(AND(DATE($O$3,$P$3,$Q$3)&lt;=$B31, $B31&lt;=DATE($O$4,$P$4,$Q$4)), IF(AND(H32=0, $A31 &gt; 0), 0, 1), IF(AND(H32&lt;&gt;0, $A31 &gt; 0), 1, 0))</f>
        <v>0</v>
      </c>
      <c r="I31" s="17" t="n">
        <f aca="false">IF(OR($H32&lt;&gt;0,$H31=0), 0, 1)</f>
        <v>0</v>
      </c>
      <c r="J31" s="17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3.8" hidden="false" customHeight="false" outlineLevel="0" collapsed="false">
      <c r="A32" s="30" t="n">
        <v>1894269.93</v>
      </c>
      <c r="B32" s="8" t="n">
        <v>43921</v>
      </c>
      <c r="H32" s="17" t="n">
        <f aca="false">IF(AND(DATE($O$3,$P$3,$Q$3)&lt;=$B32, $B32&lt;=DATE($O$4,$P$4,$Q$4)), IF(AND(H33=0, $A32 &gt; 0), 0, 1), IF(AND(H33&lt;&gt;0, $A32 &gt; 0), 1, 0))</f>
        <v>0</v>
      </c>
      <c r="I32" s="17" t="n">
        <f aca="false">IF(OR($H33&lt;&gt;0,$H32=0), 0, 1)</f>
        <v>0</v>
      </c>
      <c r="J32" s="17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3.8" hidden="false" customHeight="false" outlineLevel="0" collapsed="false">
      <c r="A33" s="30" t="n">
        <v>-2187003.46</v>
      </c>
      <c r="B33" s="8" t="n">
        <v>44012</v>
      </c>
      <c r="H33" s="17" t="n">
        <f aca="false">IF(AND(DATE($O$3,$P$3,$Q$3)&lt;=$B33, $B33&lt;=DATE($O$4,$P$4,$Q$4)), IF(AND(H34=0, $A33 &gt; 0), 0, 1), IF(AND(H34&lt;&gt;0, $A33 &gt; 0), 1, 0))</f>
        <v>0</v>
      </c>
      <c r="I33" s="17" t="n">
        <f aca="false">IF(OR($H34&lt;&gt;0,$H33=0), 0, 1)</f>
        <v>0</v>
      </c>
      <c r="J33" s="17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3.8" hidden="false" customHeight="false" outlineLevel="0" collapsed="false">
      <c r="A34" s="30" t="n">
        <v>2187003.46</v>
      </c>
      <c r="B34" s="8" t="n">
        <v>44012</v>
      </c>
      <c r="H34" s="17" t="n">
        <f aca="false">IF(AND(DATE($O$3,$P$3,$Q$3)&lt;=$B34, $B34&lt;=DATE($O$4,$P$4,$Q$4)), IF(AND(H35=0, $A34 &gt; 0), 0, 1), IF(AND(H35&lt;&gt;0, $A34 &gt; 0), 1, 0))</f>
        <v>0</v>
      </c>
      <c r="I34" s="17" t="n">
        <f aca="false">IF(OR($H35&lt;&gt;0,$H34=0), 0, 1)</f>
        <v>0</v>
      </c>
      <c r="J34" s="17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3.8" hidden="false" customHeight="false" outlineLevel="0" collapsed="false">
      <c r="A35" s="30" t="n">
        <v>-2333944.88</v>
      </c>
      <c r="B35" s="8" t="n">
        <v>44104</v>
      </c>
      <c r="H35" s="17" t="n">
        <f aca="false">IF(AND(DATE($O$3,$P$3,$Q$3)&lt;=$B35, $B35&lt;=DATE($O$4,$P$4,$Q$4)), IF(AND(H36=0, $A35 &gt; 0), 0, 1), IF(AND(H36&lt;&gt;0, $A35 &gt; 0), 1, 0))</f>
        <v>0</v>
      </c>
      <c r="I35" s="17" t="n">
        <f aca="false">IF(OR($H36&lt;&gt;0,$H35=0), 0, 1)</f>
        <v>0</v>
      </c>
      <c r="J35" s="17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3.8" hidden="false" customHeight="false" outlineLevel="0" collapsed="false">
      <c r="A36" s="30" t="n">
        <v>2333944.88</v>
      </c>
      <c r="B36" s="8" t="n">
        <v>44104</v>
      </c>
      <c r="H36" s="17" t="n">
        <f aca="false">IF(AND(DATE($O$3,$P$3,$Q$3)&lt;=$B36, $B36&lt;=DATE($O$4,$P$4,$Q$4)), IF(AND(H37=0, $A36 &gt; 0), 0, 1), IF(AND(H37&lt;&gt;0, $A36 &gt; 0), 1, 0))</f>
        <v>0</v>
      </c>
      <c r="I36" s="17" t="n">
        <f aca="false">IF(OR($H37&lt;&gt;0,$H36=0), 0, 1)</f>
        <v>0</v>
      </c>
      <c r="J36" s="17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3.8" hidden="false" customHeight="false" outlineLevel="0" collapsed="false">
      <c r="A37" s="30" t="n">
        <v>-2544248.43</v>
      </c>
      <c r="B37" s="8" t="n">
        <v>44196</v>
      </c>
      <c r="H37" s="17" t="n">
        <f aca="false">IF(AND(DATE($O$3,$P$3,$Q$3)&lt;=$B37, $B37&lt;=DATE($O$4,$P$4,$Q$4)), IF(AND(H38=0, $A37 &gt; 0), 0, 1), IF(AND(H38&lt;&gt;0, $A37 &gt; 0), 1, 0))</f>
        <v>0</v>
      </c>
      <c r="I37" s="17" t="n">
        <f aca="false">IF(OR($H38&lt;&gt;0,$H37=0), 0, 1)</f>
        <v>0</v>
      </c>
      <c r="J37" s="17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</v>
      </c>
    </row>
    <row r="38" customFormat="false" ht="13.8" hidden="false" customHeight="false" outlineLevel="0" collapsed="false">
      <c r="A38" s="30" t="n">
        <v>2544248.43</v>
      </c>
      <c r="B38" s="8" t="n">
        <v>44196</v>
      </c>
      <c r="H38" s="17" t="n">
        <f aca="false">IF(AND(DATE($O$3,$P$3,$Q$3)&lt;=$B38, $B38&lt;=DATE($O$4,$P$4,$Q$4)), IF(AND(H39=0, $A38 &gt; 0), 0, 1), IF(AND(H39&lt;&gt;0, $A38 &gt; 0), 1, 0))</f>
        <v>0</v>
      </c>
      <c r="I38" s="17" t="n">
        <f aca="false">IF(OR($H39&lt;&gt;0,$H38=0), 0, 1)</f>
        <v>0</v>
      </c>
      <c r="J38" s="17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3.8" hidden="false" customHeight="false" outlineLevel="0" collapsed="false">
      <c r="A39" s="30" t="n">
        <v>-7000</v>
      </c>
      <c r="B39" s="8" t="n">
        <v>44227</v>
      </c>
      <c r="H39" s="17" t="n">
        <f aca="false">IF(AND(DATE($O$3,$P$3,$Q$3)&lt;=$B39, $B39&lt;=DATE($O$4,$P$4,$Q$4)), IF(AND(H40=0, $A39 &gt; 0), 0, 1), IF(AND(H40&lt;&gt;0, $A39 &gt; 0), 1, 0))</f>
        <v>0</v>
      </c>
      <c r="I39" s="17" t="n">
        <f aca="false">IF(OR($H40&lt;&gt;0,$H39=0), 0, 1)</f>
        <v>0</v>
      </c>
      <c r="J39" s="17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3.8" hidden="false" customHeight="false" outlineLevel="0" collapsed="false">
      <c r="A40" s="30" t="n">
        <v>-2000</v>
      </c>
      <c r="B40" s="8" t="n">
        <v>44235</v>
      </c>
      <c r="H40" s="17" t="n">
        <f aca="false">IF(AND(DATE($O$3,$P$3,$Q$3)&lt;=$B40, $B40&lt;=DATE($O$4,$P$4,$Q$4)), IF(AND(H41=0, $A40 &gt; 0), 0, 1), IF(AND(H41&lt;&gt;0, $A40 &gt; 0), 1, 0))</f>
        <v>0</v>
      </c>
      <c r="I40" s="17" t="n">
        <f aca="false">IF(OR($H41&lt;&gt;0,$H40=0), 0, 1)</f>
        <v>0</v>
      </c>
      <c r="J40" s="17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3.8" hidden="false" customHeight="false" outlineLevel="0" collapsed="false">
      <c r="A41" s="30" t="n">
        <v>-30000</v>
      </c>
      <c r="B41" s="8" t="n">
        <v>44252</v>
      </c>
      <c r="H41" s="17" t="n">
        <f aca="false">IF(AND(DATE($O$3,$P$3,$Q$3)&lt;=$B41, $B41&lt;=DATE($O$4,$P$4,$Q$4)), IF(AND(H42=0, $A41 &gt; 0), 0, 1), IF(AND(H42&lt;&gt;0, $A41 &gt; 0), 1, 0))</f>
        <v>0</v>
      </c>
      <c r="I41" s="17" t="n">
        <f aca="false">IF(OR($H42&lt;&gt;0,$H41=0), 0, 1)</f>
        <v>0</v>
      </c>
      <c r="J41" s="17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3.8" hidden="false" customHeight="false" outlineLevel="0" collapsed="false">
      <c r="A42" s="30" t="n">
        <v>-7000</v>
      </c>
      <c r="B42" s="8" t="n">
        <v>44255</v>
      </c>
      <c r="H42" s="17" t="n">
        <f aca="false">IF(AND(DATE($O$3,$P$3,$Q$3)&lt;=$B42, $B42&lt;=DATE($O$4,$P$4,$Q$4)), IF(AND(H43=0, $A42 &gt; 0), 0, 1), IF(AND(H43&lt;&gt;0, $A42 &gt; 0), 1, 0))</f>
        <v>0</v>
      </c>
      <c r="I42" s="17" t="n">
        <f aca="false">IF(OR($H43&lt;&gt;0,$H42=0), 0, 1)</f>
        <v>0</v>
      </c>
      <c r="J42" s="17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3.8" hidden="false" customHeight="false" outlineLevel="0" collapsed="false">
      <c r="A43" s="30" t="n">
        <v>-7000</v>
      </c>
      <c r="B43" s="8" t="n">
        <v>44285</v>
      </c>
      <c r="H43" s="17" t="n">
        <f aca="false">IF(AND(DATE($O$3,$P$3,$Q$3)&lt;=$B43, $B43&lt;=DATE($O$4,$P$4,$Q$4)), IF(AND(H44=0, $A43 &gt; 0), 0, 1), IF(AND(H44&lt;&gt;0, $A43 &gt; 0), 1, 0))</f>
        <v>0</v>
      </c>
      <c r="I43" s="17" t="n">
        <f aca="false">IF(OR($H44&lt;&gt;0,$H43=0), 0, 1)</f>
        <v>0</v>
      </c>
      <c r="J43" s="17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3.8" hidden="false" customHeight="false" outlineLevel="0" collapsed="false">
      <c r="A44" s="30" t="n">
        <v>-2661665.6</v>
      </c>
      <c r="B44" s="8" t="n">
        <v>44286</v>
      </c>
      <c r="H44" s="17" t="n">
        <f aca="false">IF(AND(DATE($O$3,$P$3,$Q$3)&lt;=$B44, $B44&lt;=DATE($O$4,$P$4,$Q$4)), IF(AND(H45=0, $A44 &gt; 0), 0, 1), IF(AND(H45&lt;&gt;0, $A44 &gt; 0), 1, 0))</f>
        <v>0</v>
      </c>
      <c r="I44" s="17" t="n">
        <f aca="false">IF(OR($H45&lt;&gt;0,$H44=0), 0, 1)</f>
        <v>0</v>
      </c>
      <c r="J44" s="17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  <row r="45" customFormat="false" ht="13.8" hidden="false" customHeight="false" outlineLevel="0" collapsed="false">
      <c r="A45" s="30" t="n">
        <v>2661665.6</v>
      </c>
      <c r="B45" s="8" t="n">
        <v>44286</v>
      </c>
      <c r="H45" s="17" t="n">
        <f aca="false">IF(AND(DATE($O$3,$P$3,$Q$3)&lt;=$B45, $B45&lt;=DATE($O$4,$P$4,$Q$4)), IF(AND(H46=0, $A45 &gt; 0), 0, 1), IF(AND(H46&lt;&gt;0, $A45 &gt; 0), 1, 0))</f>
        <v>0</v>
      </c>
      <c r="I45" s="17" t="n">
        <f aca="false">IF(OR($H46&lt;&gt;0,$H45=0), 0, 1)</f>
        <v>0</v>
      </c>
      <c r="J45" s="17" t="n">
        <f aca="true">IF(IF(OR(IF($H44=0, 0, $B44)&lt;&gt;0,IF($H45=0, 0, $B45)=0), 0, OFFSET(IF($H45=0, 0, $B45),MATCH(1,$I45:$I1042,0) - 1,0))=0, 0, IF((DATEDIF(IF($H45=0, 0, $B45),IF(OR(IF($H44=0, 0, $B44)&lt;&gt;0,IF($H45=0, 0, $B45)=0), 0, OFFSET(IF($H45=0, 0, $B45),MATCH(1,$I45:$I1042,0) - 1,0)),"D") &gt;= 365), XIRR(OFFSET(IF($H45=0, 0, $A45),0,0, MATCH(1,$I45:$I1042,0), 1), OFFSET(IF($H45=0, 0, $B45),0,0, MATCH(1,$I45:$I1042,0), 1), 0.1), POWER((1+XIRR(OFFSET(IF($H45=0, 0, $A45),0,0, MATCH(1,$I45:$I1042,0), 1), OFFSET(IF($H45=0, 0, $B45),0,0, MATCH(1,$I45:$I1042,0), 1), 0.1)),(DATEDIF(IF($H45=0, 0, $B45),IF(OR(IF($H44=0, 0, $B44)&lt;&gt;0,IF($H45=0, 0, $B45)=0), 0, OFFSET(IF($H45=0, 0, $B45),MATCH(1,$I45:$I1042,0) - 1,0)),"D")/365))-1))</f>
        <v>0</v>
      </c>
    </row>
    <row r="46" customFormat="false" ht="13.8" hidden="false" customHeight="false" outlineLevel="0" collapsed="false">
      <c r="A46" s="30" t="n">
        <v>-50000</v>
      </c>
      <c r="B46" s="8" t="n">
        <v>44298</v>
      </c>
      <c r="H46" s="17" t="n">
        <f aca="false">IF(AND(DATE($O$3,$P$3,$Q$3)&lt;=$B46, $B46&lt;=DATE($O$4,$P$4,$Q$4)), IF(AND(H47=0, $A46 &gt; 0), 0, 1), IF(AND(H47&lt;&gt;0, $A46 &gt; 0), 1, 0))</f>
        <v>0</v>
      </c>
      <c r="I46" s="17" t="n">
        <f aca="false">IF(OR($H47&lt;&gt;0,$H46=0), 0, 1)</f>
        <v>0</v>
      </c>
      <c r="J46" s="17" t="n">
        <f aca="true">IF(IF(OR(IF($H45=0, 0, $B45)&lt;&gt;0,IF($H46=0, 0, $B46)=0), 0, OFFSET(IF($H46=0, 0, $B46),MATCH(1,$I46:$I1043,0) - 1,0))=0, 0, IF((DATEDIF(IF($H46=0, 0, $B46),IF(OR(IF($H45=0, 0, $B45)&lt;&gt;0,IF($H46=0, 0, $B46)=0), 0, OFFSET(IF($H46=0, 0, $B46),MATCH(1,$I46:$I1043,0) - 1,0)),"D") &gt;= 365), XIRR(OFFSET(IF($H46=0, 0, $A46),0,0, MATCH(1,$I46:$I1043,0), 1), OFFSET(IF($H46=0, 0, $B46),0,0, MATCH(1,$I46:$I1043,0), 1), 0.1), POWER((1+XIRR(OFFSET(IF($H46=0, 0, $A46),0,0, MATCH(1,$I46:$I1043,0), 1), OFFSET(IF($H46=0, 0, $B46),0,0, MATCH(1,$I46:$I1043,0), 1), 0.1)),(DATEDIF(IF($H46=0, 0, $B46),IF(OR(IF($H45=0, 0, $B45)&lt;&gt;0,IF($H46=0, 0, $B46)=0), 0, OFFSET(IF($H46=0, 0, $B46),MATCH(1,$I46:$I1043,0) - 1,0)),"D")/365))-1))</f>
        <v>0</v>
      </c>
    </row>
    <row r="47" customFormat="false" ht="13.8" hidden="false" customHeight="false" outlineLevel="0" collapsed="false">
      <c r="A47" s="30" t="n">
        <v>-7000</v>
      </c>
      <c r="B47" s="8" t="n">
        <v>44316</v>
      </c>
      <c r="H47" s="17" t="n">
        <f aca="false">IF(AND(DATE($O$3,$P$3,$Q$3)&lt;=$B47, $B47&lt;=DATE($O$4,$P$4,$Q$4)), IF(AND(H48=0, $A47 &gt; 0), 0, 1), IF(AND(H48&lt;&gt;0, $A47 &gt; 0), 1, 0))</f>
        <v>0</v>
      </c>
      <c r="I47" s="17" t="n">
        <f aca="false">IF(OR($H48&lt;&gt;0,$H47=0), 0, 1)</f>
        <v>0</v>
      </c>
      <c r="J47" s="17" t="n">
        <f aca="true">IF(IF(OR(IF($H46=0, 0, $B46)&lt;&gt;0,IF($H47=0, 0, $B47)=0), 0, OFFSET(IF($H47=0, 0, $B47),MATCH(1,$I47:$I1044,0) - 1,0))=0, 0, IF((DATEDIF(IF($H47=0, 0, $B47),IF(OR(IF($H46=0, 0, $B46)&lt;&gt;0,IF($H47=0, 0, $B47)=0), 0, OFFSET(IF($H47=0, 0, $B47),MATCH(1,$I47:$I1044,0) - 1,0)),"D") &gt;= 365), XIRR(OFFSET(IF($H47=0, 0, $A47),0,0, MATCH(1,$I47:$I1044,0), 1), OFFSET(IF($H47=0, 0, $B47),0,0, MATCH(1,$I47:$I1044,0), 1), 0.1), POWER((1+XIRR(OFFSET(IF($H47=0, 0, $A47),0,0, MATCH(1,$I47:$I1044,0), 1), OFFSET(IF($H47=0, 0, $B47),0,0, MATCH(1,$I47:$I1044,0), 1), 0.1)),(DATEDIF(IF($H47=0, 0, $B47),IF(OR(IF($H46=0, 0, $B46)&lt;&gt;0,IF($H47=0, 0, $B47)=0), 0, OFFSET(IF($H47=0, 0, $B47),MATCH(1,$I47:$I1044,0) - 1,0)),"D")/365))-1))</f>
        <v>0</v>
      </c>
    </row>
    <row r="48" customFormat="false" ht="13.8" hidden="false" customHeight="false" outlineLevel="0" collapsed="false">
      <c r="A48" s="30" t="n">
        <v>-7000</v>
      </c>
      <c r="B48" s="8" t="n">
        <v>44347</v>
      </c>
      <c r="H48" s="17" t="n">
        <f aca="false">IF(AND(DATE($O$3,$P$3,$Q$3)&lt;=$B48, $B48&lt;=DATE($O$4,$P$4,$Q$4)), IF(AND(H49=0, $A48 &gt; 0), 0, 1), IF(AND(H49&lt;&gt;0, $A48 &gt; 0), 1, 0))</f>
        <v>0</v>
      </c>
      <c r="I48" s="17" t="n">
        <f aca="false">IF(OR($H49&lt;&gt;0,$H48=0), 0, 1)</f>
        <v>0</v>
      </c>
      <c r="J48" s="17" t="n">
        <f aca="true">IF(IF(OR(IF($H47=0, 0, $B47)&lt;&gt;0,IF($H48=0, 0, $B48)=0), 0, OFFSET(IF($H48=0, 0, $B48),MATCH(1,$I48:$I1045,0) - 1,0))=0, 0, IF((DATEDIF(IF($H48=0, 0, $B48),IF(OR(IF($H47=0, 0, $B47)&lt;&gt;0,IF($H48=0, 0, $B48)=0), 0, OFFSET(IF($H48=0, 0, $B48),MATCH(1,$I48:$I1045,0) - 1,0)),"D") &gt;= 365), XIRR(OFFSET(IF($H48=0, 0, $A48),0,0, MATCH(1,$I48:$I1045,0), 1), OFFSET(IF($H48=0, 0, $B48),0,0, MATCH(1,$I48:$I1045,0), 1), 0.1), POWER((1+XIRR(OFFSET(IF($H48=0, 0, $A48),0,0, MATCH(1,$I48:$I1045,0), 1), OFFSET(IF($H48=0, 0, $B48),0,0, MATCH(1,$I48:$I1045,0), 1), 0.1)),(DATEDIF(IF($H48=0, 0, $B48),IF(OR(IF($H47=0, 0, $B47)&lt;&gt;0,IF($H48=0, 0, $B48)=0), 0, OFFSET(IF($H48=0, 0, $B48),MATCH(1,$I48:$I1045,0) - 1,0)),"D")/365))-1))</f>
        <v>0</v>
      </c>
    </row>
    <row r="49" customFormat="false" ht="13.8" hidden="false" customHeight="false" outlineLevel="0" collapsed="false">
      <c r="A49" s="30" t="n">
        <v>-7000</v>
      </c>
      <c r="B49" s="8" t="n">
        <v>44376</v>
      </c>
      <c r="H49" s="17" t="n">
        <f aca="false">IF(AND(DATE($O$3,$P$3,$Q$3)&lt;=$B49, $B49&lt;=DATE($O$4,$P$4,$Q$4)), IF(AND(H50=0, $A49 &gt; 0), 0, 1), IF(AND(H50&lt;&gt;0, $A49 &gt; 0), 1, 0))</f>
        <v>0</v>
      </c>
      <c r="I49" s="17" t="n">
        <f aca="false">IF(OR($H50&lt;&gt;0,$H49=0), 0, 1)</f>
        <v>0</v>
      </c>
      <c r="J49" s="17" t="n">
        <f aca="true">IF(IF(OR(IF($H48=0, 0, $B48)&lt;&gt;0,IF($H49=0, 0, $B49)=0), 0, OFFSET(IF($H49=0, 0, $B49),MATCH(1,$I49:$I1046,0) - 1,0))=0, 0, IF((DATEDIF(IF($H49=0, 0, $B49),IF(OR(IF($H48=0, 0, $B48)&lt;&gt;0,IF($H49=0, 0, $B49)=0), 0, OFFSET(IF($H49=0, 0, $B49),MATCH(1,$I49:$I1046,0) - 1,0)),"D") &gt;= 365), XIRR(OFFSET(IF($H49=0, 0, $A49),0,0, MATCH(1,$I49:$I1046,0), 1), OFFSET(IF($H49=0, 0, $B49),0,0, MATCH(1,$I49:$I1046,0), 1), 0.1), POWER((1+XIRR(OFFSET(IF($H49=0, 0, $A49),0,0, MATCH(1,$I49:$I1046,0), 1), OFFSET(IF($H49=0, 0, $B49),0,0, MATCH(1,$I49:$I1046,0), 1), 0.1)),(DATEDIF(IF($H49=0, 0, $B49),IF(OR(IF($H48=0, 0, $B48)&lt;&gt;0,IF($H49=0, 0, $B49)=0), 0, OFFSET(IF($H49=0, 0, $B49),MATCH(1,$I49:$I1046,0) - 1,0)),"D")/365))-1))</f>
        <v>0</v>
      </c>
    </row>
    <row r="50" customFormat="false" ht="13.8" hidden="false" customHeight="false" outlineLevel="0" collapsed="false">
      <c r="A50" s="30" t="n">
        <v>-2791489.54</v>
      </c>
      <c r="B50" s="8" t="n">
        <v>44377</v>
      </c>
      <c r="H50" s="17" t="n">
        <f aca="false">IF(AND(DATE($O$3,$P$3,$Q$3)&lt;=$B50, $B50&lt;=DATE($O$4,$P$4,$Q$4)), IF(AND(H51=0, $A50 &gt; 0), 0, 1), IF(AND(H51&lt;&gt;0, $A50 &gt; 0), 1, 0))</f>
        <v>0</v>
      </c>
      <c r="I50" s="17" t="n">
        <f aca="false">IF(OR($H51&lt;&gt;0,$H50=0), 0, 1)</f>
        <v>0</v>
      </c>
      <c r="J50" s="17" t="n">
        <f aca="true">IF(IF(OR(IF($H49=0, 0, $B49)&lt;&gt;0,IF($H50=0, 0, $B50)=0), 0, OFFSET(IF($H50=0, 0, $B50),MATCH(1,$I50:$I1047,0) - 1,0))=0, 0, IF((DATEDIF(IF($H50=0, 0, $B50),IF(OR(IF($H49=0, 0, $B49)&lt;&gt;0,IF($H50=0, 0, $B50)=0), 0, OFFSET(IF($H50=0, 0, $B50),MATCH(1,$I50:$I1047,0) - 1,0)),"D") &gt;= 365), XIRR(OFFSET(IF($H50=0, 0, $A50),0,0, MATCH(1,$I50:$I1047,0), 1), OFFSET(IF($H50=0, 0, $B50),0,0, MATCH(1,$I50:$I1047,0), 1), 0.1), POWER((1+XIRR(OFFSET(IF($H50=0, 0, $A50),0,0, MATCH(1,$I50:$I1047,0), 1), OFFSET(IF($H50=0, 0, $B50),0,0, MATCH(1,$I50:$I1047,0), 1), 0.1)),(DATEDIF(IF($H50=0, 0, $B50),IF(OR(IF($H49=0, 0, $B49)&lt;&gt;0,IF($H50=0, 0, $B50)=0), 0, OFFSET(IF($H50=0, 0, $B50),MATCH(1,$I50:$I1047,0) - 1,0)),"D")/365))-1))</f>
        <v>0</v>
      </c>
    </row>
    <row r="51" customFormat="false" ht="13.8" hidden="false" customHeight="false" outlineLevel="0" collapsed="false">
      <c r="A51" s="30" t="n">
        <v>2791489.54</v>
      </c>
      <c r="B51" s="8" t="n">
        <v>44377</v>
      </c>
      <c r="H51" s="17" t="n">
        <f aca="false">IF(AND(DATE($O$3,$P$3,$Q$3)&lt;=$B51, $B51&lt;=DATE($O$4,$P$4,$Q$4)), IF(AND(H52=0, $A51 &gt; 0), 0, 1), IF(AND(H52&lt;&gt;0, $A51 &gt; 0), 1, 0))</f>
        <v>0</v>
      </c>
      <c r="I51" s="17" t="n">
        <f aca="false">IF(OR($H52&lt;&gt;0,$H51=0), 0, 1)</f>
        <v>0</v>
      </c>
      <c r="J51" s="17" t="n">
        <f aca="true">IF(IF(OR(IF($H50=0, 0, $B50)&lt;&gt;0,IF($H51=0, 0, $B51)=0), 0, OFFSET(IF($H51=0, 0, $B51),MATCH(1,$I51:$I1048,0) - 1,0))=0, 0, IF((DATEDIF(IF($H51=0, 0, $B51),IF(OR(IF($H50=0, 0, $B50)&lt;&gt;0,IF($H51=0, 0, $B51)=0), 0, OFFSET(IF($H51=0, 0, $B51),MATCH(1,$I51:$I1048,0) - 1,0)),"D") &gt;= 365), XIRR(OFFSET(IF($H51=0, 0, $A51),0,0, MATCH(1,$I51:$I1048,0), 1), OFFSET(IF($H51=0, 0, $B51),0,0, MATCH(1,$I51:$I1048,0), 1), 0.1), POWER((1+XIRR(OFFSET(IF($H51=0, 0, $A51),0,0, MATCH(1,$I51:$I1048,0), 1), OFFSET(IF($H51=0, 0, $B51),0,0, MATCH(1,$I51:$I1048,0), 1), 0.1)),(DATEDIF(IF($H51=0, 0, $B51),IF(OR(IF($H50=0, 0, $B50)&lt;&gt;0,IF($H51=0, 0, $B51)=0), 0, OFFSET(IF($H51=0, 0, $B51),MATCH(1,$I51:$I1048,0) - 1,0)),"D")/365))-1))</f>
        <v>0</v>
      </c>
    </row>
    <row r="52" customFormat="false" ht="13.8" hidden="false" customHeight="false" outlineLevel="0" collapsed="false">
      <c r="A52" s="30" t="n">
        <v>-7000</v>
      </c>
      <c r="B52" s="8" t="n">
        <v>44407</v>
      </c>
      <c r="H52" s="17" t="n">
        <f aca="false">IF(AND(DATE($O$3,$P$3,$Q$3)&lt;=$B52, $B52&lt;=DATE($O$4,$P$4,$Q$4)), IF(AND(H53=0, $A52 &gt; 0), 0, 1), IF(AND(H53&lt;&gt;0, $A52 &gt; 0), 1, 0))</f>
        <v>0</v>
      </c>
      <c r="I52" s="17" t="n">
        <f aca="false">IF(OR($H53&lt;&gt;0,$H52=0), 0, 1)</f>
        <v>0</v>
      </c>
      <c r="J52" s="17" t="n">
        <f aca="true">IF(IF(OR(IF($H51=0, 0, $B51)&lt;&gt;0,IF($H52=0, 0, $B52)=0), 0, OFFSET(IF($H52=0, 0, $B52),MATCH(1,$I52:$I1049,0) - 1,0))=0, 0, IF((DATEDIF(IF($H52=0, 0, $B52),IF(OR(IF($H51=0, 0, $B51)&lt;&gt;0,IF($H52=0, 0, $B52)=0), 0, OFFSET(IF($H52=0, 0, $B52),MATCH(1,$I52:$I1049,0) - 1,0)),"D") &gt;= 365), XIRR(OFFSET(IF($H52=0, 0, $A52),0,0, MATCH(1,$I52:$I1049,0), 1), OFFSET(IF($H52=0, 0, $B52),0,0, MATCH(1,$I52:$I1049,0), 1), 0.1), POWER((1+XIRR(OFFSET(IF($H52=0, 0, $A52),0,0, MATCH(1,$I52:$I1049,0), 1), OFFSET(IF($H52=0, 0, $B52),0,0, MATCH(1,$I52:$I1049,0), 1), 0.1)),(DATEDIF(IF($H52=0, 0, $B52),IF(OR(IF($H51=0, 0, $B51)&lt;&gt;0,IF($H52=0, 0, $B52)=0), 0, OFFSET(IF($H52=0, 0, $B52),MATCH(1,$I52:$I1049,0) - 1,0)),"D")/365))-1))</f>
        <v>0</v>
      </c>
    </row>
    <row r="53" customFormat="false" ht="13.8" hidden="false" customHeight="false" outlineLevel="0" collapsed="false">
      <c r="A53" s="30" t="n">
        <v>-7000</v>
      </c>
      <c r="B53" s="8" t="n">
        <v>44438</v>
      </c>
      <c r="H53" s="17" t="n">
        <f aca="false">IF(AND(DATE($O$3,$P$3,$Q$3)&lt;=$B53, $B53&lt;=DATE($O$4,$P$4,$Q$4)), IF(AND(H54=0, $A53 &gt; 0), 0, 1), IF(AND(H54&lt;&gt;0, $A53 &gt; 0), 1, 0))</f>
        <v>0</v>
      </c>
      <c r="I53" s="17" t="n">
        <f aca="false">IF(OR($H54&lt;&gt;0,$H53=0), 0, 1)</f>
        <v>0</v>
      </c>
      <c r="J53" s="17" t="n">
        <f aca="true">IF(IF(OR(IF($H52=0, 0, $B52)&lt;&gt;0,IF($H53=0, 0, $B53)=0), 0, OFFSET(IF($H53=0, 0, $B53),MATCH(1,$I53:$I1050,0) - 1,0))=0, 0, IF((DATEDIF(IF($H53=0, 0, $B53),IF(OR(IF($H52=0, 0, $B52)&lt;&gt;0,IF($H53=0, 0, $B53)=0), 0, OFFSET(IF($H53=0, 0, $B53),MATCH(1,$I53:$I1050,0) - 1,0)),"D") &gt;= 365), XIRR(OFFSET(IF($H53=0, 0, $A53),0,0, MATCH(1,$I53:$I1050,0), 1), OFFSET(IF($H53=0, 0, $B53),0,0, MATCH(1,$I53:$I1050,0), 1), 0.1), POWER((1+XIRR(OFFSET(IF($H53=0, 0, $A53),0,0, MATCH(1,$I53:$I1050,0), 1), OFFSET(IF($H53=0, 0, $B53),0,0, MATCH(1,$I53:$I1050,0), 1), 0.1)),(DATEDIF(IF($H53=0, 0, $B53),IF(OR(IF($H52=0, 0, $B52)&lt;&gt;0,IF($H53=0, 0, $B53)=0), 0, OFFSET(IF($H53=0, 0, $B53),MATCH(1,$I53:$I1050,0) - 1,0)),"D")/365))-1))</f>
        <v>0</v>
      </c>
    </row>
    <row r="54" customFormat="false" ht="13.8" hidden="false" customHeight="false" outlineLevel="0" collapsed="false">
      <c r="A54" s="30" t="n">
        <v>-45000</v>
      </c>
      <c r="B54" s="8" t="n">
        <v>44453</v>
      </c>
      <c r="H54" s="17" t="n">
        <f aca="false">IF(AND(DATE($O$3,$P$3,$Q$3)&lt;=$B54, $B54&lt;=DATE($O$4,$P$4,$Q$4)), IF(AND(H55=0, $A54 &gt; 0), 0, 1), IF(AND(H55&lt;&gt;0, $A54 &gt; 0), 1, 0))</f>
        <v>0</v>
      </c>
      <c r="I54" s="17" t="n">
        <f aca="false">IF(OR($H55&lt;&gt;0,$H54=0), 0, 1)</f>
        <v>0</v>
      </c>
      <c r="J54" s="17" t="n">
        <f aca="true">IF(IF(OR(IF($H53=0, 0, $B53)&lt;&gt;0,IF($H54=0, 0, $B54)=0), 0, OFFSET(IF($H54=0, 0, $B54),MATCH(1,$I54:$I1051,0) - 1,0))=0, 0, IF((DATEDIF(IF($H54=0, 0, $B54),IF(OR(IF($H53=0, 0, $B53)&lt;&gt;0,IF($H54=0, 0, $B54)=0), 0, OFFSET(IF($H54=0, 0, $B54),MATCH(1,$I54:$I1051,0) - 1,0)),"D") &gt;= 365), XIRR(OFFSET(IF($H54=0, 0, $A54),0,0, MATCH(1,$I54:$I1051,0), 1), OFFSET(IF($H54=0, 0, $B54),0,0, MATCH(1,$I54:$I1051,0), 1), 0.1), POWER((1+XIRR(OFFSET(IF($H54=0, 0, $A54),0,0, MATCH(1,$I54:$I1051,0), 1), OFFSET(IF($H54=0, 0, $B54),0,0, MATCH(1,$I54:$I1051,0), 1), 0.1)),(DATEDIF(IF($H54=0, 0, $B54),IF(OR(IF($H53=0, 0, $B53)&lt;&gt;0,IF($H54=0, 0, $B54)=0), 0, OFFSET(IF($H54=0, 0, $B54),MATCH(1,$I54:$I1051,0) - 1,0)),"D")/365))-1))</f>
        <v>0</v>
      </c>
    </row>
    <row r="55" customFormat="false" ht="13.8" hidden="false" customHeight="false" outlineLevel="0" collapsed="false">
      <c r="A55" s="30" t="n">
        <v>-7000</v>
      </c>
      <c r="B55" s="8" t="n">
        <v>44469</v>
      </c>
      <c r="H55" s="17" t="n">
        <f aca="false">IF(AND(DATE($O$3,$P$3,$Q$3)&lt;=$B55, $B55&lt;=DATE($O$4,$P$4,$Q$4)), IF(AND(H56=0, $A55 &gt; 0), 0, 1), IF(AND(H56&lt;&gt;0, $A55 &gt; 0), 1, 0))</f>
        <v>0</v>
      </c>
      <c r="I55" s="17" t="n">
        <f aca="false">IF(OR($H56&lt;&gt;0,$H55=0), 0, 1)</f>
        <v>0</v>
      </c>
      <c r="J55" s="17" t="n">
        <f aca="true">IF(IF(OR(IF($H54=0, 0, $B54)&lt;&gt;0,IF($H55=0, 0, $B55)=0), 0, OFFSET(IF($H55=0, 0, $B55),MATCH(1,$I55:$I1052,0) - 1,0))=0, 0, IF((DATEDIF(IF($H55=0, 0, $B55),IF(OR(IF($H54=0, 0, $B54)&lt;&gt;0,IF($H55=0, 0, $B55)=0), 0, OFFSET(IF($H55=0, 0, $B55),MATCH(1,$I55:$I1052,0) - 1,0)),"D") &gt;= 365), XIRR(OFFSET(IF($H55=0, 0, $A55),0,0, MATCH(1,$I55:$I1052,0), 1), OFFSET(IF($H55=0, 0, $B55),0,0, MATCH(1,$I55:$I1052,0), 1), 0.1), POWER((1+XIRR(OFFSET(IF($H55=0, 0, $A55),0,0, MATCH(1,$I55:$I1052,0), 1), OFFSET(IF($H55=0, 0, $B55),0,0, MATCH(1,$I55:$I1052,0), 1), 0.1)),(DATEDIF(IF($H55=0, 0, $B55),IF(OR(IF($H54=0, 0, $B54)&lt;&gt;0,IF($H55=0, 0, $B55)=0), 0, OFFSET(IF($H55=0, 0, $B55),MATCH(1,$I55:$I1052,0) - 1,0)),"D")/365))-1))</f>
        <v>0</v>
      </c>
    </row>
    <row r="56" customFormat="false" ht="13.8" hidden="false" customHeight="false" outlineLevel="0" collapsed="false">
      <c r="A56" s="30" t="n">
        <v>-2871916.67</v>
      </c>
      <c r="B56" s="8" t="n">
        <v>44469</v>
      </c>
      <c r="H56" s="17" t="n">
        <f aca="false">IF(AND(DATE($O$3,$P$3,$Q$3)&lt;=$B56, $B56&lt;=DATE($O$4,$P$4,$Q$4)), IF(AND(H57=0, $A56 &gt; 0), 0, 1), IF(AND(H57&lt;&gt;0, $A56 &gt; 0), 1, 0))</f>
        <v>0</v>
      </c>
      <c r="I56" s="17" t="n">
        <f aca="false">IF(OR($H57&lt;&gt;0,$H56=0), 0, 1)</f>
        <v>0</v>
      </c>
      <c r="J56" s="17" t="n">
        <f aca="true">IF(IF(OR(IF($H55=0, 0, $B55)&lt;&gt;0,IF($H56=0, 0, $B56)=0), 0, OFFSET(IF($H56=0, 0, $B56),MATCH(1,$I56:$I1053,0) - 1,0))=0, 0, IF((DATEDIF(IF($H56=0, 0, $B56),IF(OR(IF($H55=0, 0, $B55)&lt;&gt;0,IF($H56=0, 0, $B56)=0), 0, OFFSET(IF($H56=0, 0, $B56),MATCH(1,$I56:$I1053,0) - 1,0)),"D") &gt;= 365), XIRR(OFFSET(IF($H56=0, 0, $A56),0,0, MATCH(1,$I56:$I1053,0), 1), OFFSET(IF($H56=0, 0, $B56),0,0, MATCH(1,$I56:$I1053,0), 1), 0.1), POWER((1+XIRR(OFFSET(IF($H56=0, 0, $A56),0,0, MATCH(1,$I56:$I1053,0), 1), OFFSET(IF($H56=0, 0, $B56),0,0, MATCH(1,$I56:$I1053,0), 1), 0.1)),(DATEDIF(IF($H56=0, 0, $B56),IF(OR(IF($H55=0, 0, $B55)&lt;&gt;0,IF($H56=0, 0, $B56)=0), 0, OFFSET(IF($H56=0, 0, $B56),MATCH(1,$I56:$I1053,0) - 1,0)),"D")/365))-1))</f>
        <v>0</v>
      </c>
    </row>
    <row r="57" customFormat="false" ht="13.8" hidden="false" customHeight="false" outlineLevel="0" collapsed="false">
      <c r="A57" s="30" t="n">
        <v>2871916.67</v>
      </c>
      <c r="B57" s="8" t="n">
        <v>44469</v>
      </c>
      <c r="H57" s="17" t="n">
        <f aca="false">IF(AND(DATE($O$3,$P$3,$Q$3)&lt;=$B57, $B57&lt;=DATE($O$4,$P$4,$Q$4)), IF(AND(H58=0, $A57 &gt; 0), 0, 1), IF(AND(H58&lt;&gt;0, $A57 &gt; 0), 1, 0))</f>
        <v>0</v>
      </c>
      <c r="I57" s="17" t="n">
        <f aca="false">IF(OR($H58&lt;&gt;0,$H57=0), 0, 1)</f>
        <v>0</v>
      </c>
      <c r="J57" s="17" t="n">
        <f aca="true">IF(IF(OR(IF($H56=0, 0, $B56)&lt;&gt;0,IF($H57=0, 0, $B57)=0), 0, OFFSET(IF($H57=0, 0, $B57),MATCH(1,$I57:$I1054,0) - 1,0))=0, 0, IF((DATEDIF(IF($H57=0, 0, $B57),IF(OR(IF($H56=0, 0, $B56)&lt;&gt;0,IF($H57=0, 0, $B57)=0), 0, OFFSET(IF($H57=0, 0, $B57),MATCH(1,$I57:$I1054,0) - 1,0)),"D") &gt;= 365), XIRR(OFFSET(IF($H57=0, 0, $A57),0,0, MATCH(1,$I57:$I1054,0), 1), OFFSET(IF($H57=0, 0, $B57),0,0, MATCH(1,$I57:$I1054,0), 1), 0.1), POWER((1+XIRR(OFFSET(IF($H57=0, 0, $A57),0,0, MATCH(1,$I57:$I1054,0), 1), OFFSET(IF($H57=0, 0, $B57),0,0, MATCH(1,$I57:$I1054,0), 1), 0.1)),(DATEDIF(IF($H57=0, 0, $B57),IF(OR(IF($H56=0, 0, $B56)&lt;&gt;0,IF($H57=0, 0, $B57)=0), 0, OFFSET(IF($H57=0, 0, $B57),MATCH(1,$I57:$I1054,0) - 1,0)),"D")/365))-1))</f>
        <v>0</v>
      </c>
    </row>
    <row r="58" customFormat="false" ht="13.8" hidden="false" customHeight="false" outlineLevel="0" collapsed="false">
      <c r="A58" s="30" t="n">
        <v>-355000</v>
      </c>
      <c r="B58" s="8" t="n">
        <v>44477</v>
      </c>
      <c r="H58" s="17" t="n">
        <f aca="false">IF(AND(DATE($O$3,$P$3,$Q$3)&lt;=$B58, $B58&lt;=DATE($O$4,$P$4,$Q$4)), IF(AND(H59=0, $A58 &gt; 0), 0, 1), IF(AND(H59&lt;&gt;0, $A58 &gt; 0), 1, 0))</f>
        <v>0</v>
      </c>
      <c r="I58" s="17" t="n">
        <f aca="false">IF(OR($H59&lt;&gt;0,$H58=0), 0, 1)</f>
        <v>0</v>
      </c>
      <c r="J58" s="17" t="n">
        <f aca="true">IF(IF(OR(IF($H57=0, 0, $B57)&lt;&gt;0,IF($H58=0, 0, $B58)=0), 0, OFFSET(IF($H58=0, 0, $B58),MATCH(1,$I58:$I1055,0) - 1,0))=0, 0, IF((DATEDIF(IF($H58=0, 0, $B58),IF(OR(IF($H57=0, 0, $B57)&lt;&gt;0,IF($H58=0, 0, $B58)=0), 0, OFFSET(IF($H58=0, 0, $B58),MATCH(1,$I58:$I1055,0) - 1,0)),"D") &gt;= 365), XIRR(OFFSET(IF($H58=0, 0, $A58),0,0, MATCH(1,$I58:$I1055,0), 1), OFFSET(IF($H58=0, 0, $B58),0,0, MATCH(1,$I58:$I1055,0), 1), 0.1), POWER((1+XIRR(OFFSET(IF($H58=0, 0, $A58),0,0, MATCH(1,$I58:$I1055,0), 1), OFFSET(IF($H58=0, 0, $B58),0,0, MATCH(1,$I58:$I1055,0), 1), 0.1)),(DATEDIF(IF($H58=0, 0, $B58),IF(OR(IF($H57=0, 0, $B57)&lt;&gt;0,IF($H58=0, 0, $B58)=0), 0, OFFSET(IF($H58=0, 0, $B58),MATCH(1,$I58:$I1055,0) - 1,0)),"D")/365))-1))</f>
        <v>0</v>
      </c>
    </row>
    <row r="59" customFormat="false" ht="13.8" hidden="false" customHeight="false" outlineLevel="0" collapsed="false">
      <c r="A59" s="30" t="n">
        <v>-7000</v>
      </c>
      <c r="B59" s="8" t="n">
        <v>44499</v>
      </c>
      <c r="H59" s="17" t="n">
        <f aca="false">IF(AND(DATE($O$3,$P$3,$Q$3)&lt;=$B59, $B59&lt;=DATE($O$4,$P$4,$Q$4)), IF(AND(H60=0, $A59 &gt; 0), 0, 1), IF(AND(H60&lt;&gt;0, $A59 &gt; 0), 1, 0))</f>
        <v>0</v>
      </c>
      <c r="I59" s="17" t="n">
        <f aca="false">IF(OR($H60&lt;&gt;0,$H59=0), 0, 1)</f>
        <v>0</v>
      </c>
      <c r="J59" s="17" t="n">
        <f aca="true">IF(IF(OR(IF($H58=0, 0, $B58)&lt;&gt;0,IF($H59=0, 0, $B59)=0), 0, OFFSET(IF($H59=0, 0, $B59),MATCH(1,$I59:$I1056,0) - 1,0))=0, 0, IF((DATEDIF(IF($H59=0, 0, $B59),IF(OR(IF($H58=0, 0, $B58)&lt;&gt;0,IF($H59=0, 0, $B59)=0), 0, OFFSET(IF($H59=0, 0, $B59),MATCH(1,$I59:$I1056,0) - 1,0)),"D") &gt;= 365), XIRR(OFFSET(IF($H59=0, 0, $A59),0,0, MATCH(1,$I59:$I1056,0), 1), OFFSET(IF($H59=0, 0, $B59),0,0, MATCH(1,$I59:$I1056,0), 1), 0.1), POWER((1+XIRR(OFFSET(IF($H59=0, 0, $A59),0,0, MATCH(1,$I59:$I1056,0), 1), OFFSET(IF($H59=0, 0, $B59),0,0, MATCH(1,$I59:$I1056,0), 1), 0.1)),(DATEDIF(IF($H59=0, 0, $B59),IF(OR(IF($H58=0, 0, $B58)&lt;&gt;0,IF($H59=0, 0, $B59)=0), 0, OFFSET(IF($H59=0, 0, $B59),MATCH(1,$I59:$I1056,0) - 1,0)),"D")/365))-1))</f>
        <v>0</v>
      </c>
    </row>
    <row r="60" customFormat="false" ht="13.8" hidden="false" customHeight="false" outlineLevel="0" collapsed="false">
      <c r="A60" s="30" t="n">
        <v>-7000</v>
      </c>
      <c r="B60" s="8" t="n">
        <v>44530</v>
      </c>
      <c r="H60" s="17" t="n">
        <f aca="false">IF(AND(DATE($O$3,$P$3,$Q$3)&lt;=$B60, $B60&lt;=DATE($O$4,$P$4,$Q$4)), IF(AND(H61=0, $A60 &gt; 0), 0, 1), IF(AND(H61&lt;&gt;0, $A60 &gt; 0), 1, 0))</f>
        <v>0</v>
      </c>
      <c r="I60" s="17" t="n">
        <f aca="false">IF(OR($H61&lt;&gt;0,$H60=0), 0, 1)</f>
        <v>0</v>
      </c>
      <c r="J60" s="17" t="n">
        <f aca="true">IF(IF(OR(IF($H59=0, 0, $B59)&lt;&gt;0,IF($H60=0, 0, $B60)=0), 0, OFFSET(IF($H60=0, 0, $B60),MATCH(1,$I60:$I1057,0) - 1,0))=0, 0, IF((DATEDIF(IF($H60=0, 0, $B60),IF(OR(IF($H59=0, 0, $B59)&lt;&gt;0,IF($H60=0, 0, $B60)=0), 0, OFFSET(IF($H60=0, 0, $B60),MATCH(1,$I60:$I1057,0) - 1,0)),"D") &gt;= 365), XIRR(OFFSET(IF($H60=0, 0, $A60),0,0, MATCH(1,$I60:$I1057,0), 1), OFFSET(IF($H60=0, 0, $B60),0,0, MATCH(1,$I60:$I1057,0), 1), 0.1), POWER((1+XIRR(OFFSET(IF($H60=0, 0, $A60),0,0, MATCH(1,$I60:$I1057,0), 1), OFFSET(IF($H60=0, 0, $B60),0,0, MATCH(1,$I60:$I1057,0), 1), 0.1)),(DATEDIF(IF($H60=0, 0, $B60),IF(OR(IF($H59=0, 0, $B59)&lt;&gt;0,IF($H60=0, 0, $B60)=0), 0, OFFSET(IF($H60=0, 0, $B60),MATCH(1,$I60:$I1057,0) - 1,0)),"D")/365))-1))</f>
        <v>0</v>
      </c>
    </row>
    <row r="61" customFormat="false" ht="13.8" hidden="false" customHeight="false" outlineLevel="0" collapsed="false">
      <c r="A61" s="30" t="n">
        <v>-7000</v>
      </c>
      <c r="B61" s="8" t="n">
        <v>44560</v>
      </c>
      <c r="H61" s="17" t="n">
        <f aca="false">IF(AND(DATE($O$3,$P$3,$Q$3)&lt;=$B61, $B61&lt;=DATE($O$4,$P$4,$Q$4)), IF(AND(H62=0, $A61 &gt; 0), 0, 1), IF(AND(H62&lt;&gt;0, $A61 &gt; 0), 1, 0))</f>
        <v>0</v>
      </c>
      <c r="I61" s="17" t="n">
        <f aca="false">IF(OR($H62&lt;&gt;0,$H61=0), 0, 1)</f>
        <v>0</v>
      </c>
      <c r="J61" s="17" t="n">
        <f aca="true">IF(IF(OR(IF($H60=0, 0, $B60)&lt;&gt;0,IF($H61=0, 0, $B61)=0), 0, OFFSET(IF($H61=0, 0, $B61),MATCH(1,$I61:$I1058,0) - 1,0))=0, 0, IF((DATEDIF(IF($H61=0, 0, $B61),IF(OR(IF($H60=0, 0, $B60)&lt;&gt;0,IF($H61=0, 0, $B61)=0), 0, OFFSET(IF($H61=0, 0, $B61),MATCH(1,$I61:$I1058,0) - 1,0)),"D") &gt;= 365), XIRR(OFFSET(IF($H61=0, 0, $A61),0,0, MATCH(1,$I61:$I1058,0), 1), OFFSET(IF($H61=0, 0, $B61),0,0, MATCH(1,$I61:$I1058,0), 1), 0.1), POWER((1+XIRR(OFFSET(IF($H61=0, 0, $A61),0,0, MATCH(1,$I61:$I1058,0), 1), OFFSET(IF($H61=0, 0, $B61),0,0, MATCH(1,$I61:$I1058,0), 1), 0.1)),(DATEDIF(IF($H61=0, 0, $B61),IF(OR(IF($H60=0, 0, $B60)&lt;&gt;0,IF($H61=0, 0, $B61)=0), 0, OFFSET(IF($H61=0, 0, $B61),MATCH(1,$I61:$I1058,0) - 1,0)),"D")/365))-1))</f>
        <v>0</v>
      </c>
    </row>
    <row r="62" customFormat="false" ht="13.8" hidden="false" customHeight="false" outlineLevel="0" collapsed="false">
      <c r="A62" s="30" t="n">
        <v>-2688026.28</v>
      </c>
      <c r="B62" s="8" t="n">
        <v>44561</v>
      </c>
      <c r="H62" s="17" t="n">
        <f aca="false">IF(AND(DATE($O$3,$P$3,$Q$3)&lt;=$B62, $B62&lt;=DATE($O$4,$P$4,$Q$4)), IF(AND(H63=0, $A62 &gt; 0), 0, 1), IF(AND(H63&lt;&gt;0, $A62 &gt; 0), 1, 0))</f>
        <v>0</v>
      </c>
      <c r="I62" s="17" t="n">
        <f aca="false">IF(OR($H63&lt;&gt;0,$H62=0), 0, 1)</f>
        <v>0</v>
      </c>
      <c r="J62" s="17" t="n">
        <f aca="true">IF(IF(OR(IF($H61=0, 0, $B61)&lt;&gt;0,IF($H62=0, 0, $B62)=0), 0, OFFSET(IF($H62=0, 0, $B62),MATCH(1,$I62:$I1059,0) - 1,0))=0, 0, IF((DATEDIF(IF($H62=0, 0, $B62),IF(OR(IF($H61=0, 0, $B61)&lt;&gt;0,IF($H62=0, 0, $B62)=0), 0, OFFSET(IF($H62=0, 0, $B62),MATCH(1,$I62:$I1059,0) - 1,0)),"D") &gt;= 365), XIRR(OFFSET(IF($H62=0, 0, $A62),0,0, MATCH(1,$I62:$I1059,0), 1), OFFSET(IF($H62=0, 0, $B62),0,0, MATCH(1,$I62:$I1059,0), 1), 0.1), POWER((1+XIRR(OFFSET(IF($H62=0, 0, $A62),0,0, MATCH(1,$I62:$I1059,0), 1), OFFSET(IF($H62=0, 0, $B62),0,0, MATCH(1,$I62:$I1059,0), 1), 0.1)),(DATEDIF(IF($H62=0, 0, $B62),IF(OR(IF($H61=0, 0, $B61)&lt;&gt;0,IF($H62=0, 0, $B62)=0), 0, OFFSET(IF($H62=0, 0, $B62),MATCH(1,$I62:$I1059,0) - 1,0)),"D")/365))-1))</f>
        <v>0</v>
      </c>
    </row>
    <row r="63" customFormat="false" ht="13.8" hidden="false" customHeight="false" outlineLevel="0" collapsed="false">
      <c r="A63" s="30" t="n">
        <v>2688026.28</v>
      </c>
      <c r="B63" s="8" t="n">
        <v>44561</v>
      </c>
      <c r="H63" s="17" t="n">
        <f aca="false">IF(AND(DATE($O$3,$P$3,$Q$3)&lt;=$B63, $B63&lt;=DATE($O$4,$P$4,$Q$4)), IF(AND(H64=0, $A63 &gt; 0), 0, 1), IF(AND(H64&lt;&gt;0, $A63 &gt; 0), 1, 0))</f>
        <v>0</v>
      </c>
      <c r="I63" s="17" t="n">
        <f aca="false">IF(OR($H64&lt;&gt;0,$H63=0), 0, 1)</f>
        <v>0</v>
      </c>
      <c r="J63" s="17" t="n">
        <f aca="true">IF(IF(OR(IF($H62=0, 0, $B62)&lt;&gt;0,IF($H63=0, 0, $B63)=0), 0, OFFSET(IF($H63=0, 0, $B63),MATCH(1,$I63:$I1060,0) - 1,0))=0, 0, IF((DATEDIF(IF($H63=0, 0, $B63),IF(OR(IF($H62=0, 0, $B62)&lt;&gt;0,IF($H63=0, 0, $B63)=0), 0, OFFSET(IF($H63=0, 0, $B63),MATCH(1,$I63:$I1060,0) - 1,0)),"D") &gt;= 365), XIRR(OFFSET(IF($H63=0, 0, $A63),0,0, MATCH(1,$I63:$I1060,0), 1), OFFSET(IF($H63=0, 0, $B63),0,0, MATCH(1,$I63:$I1060,0), 1), 0.1), POWER((1+XIRR(OFFSET(IF($H63=0, 0, $A63),0,0, MATCH(1,$I63:$I1060,0), 1), OFFSET(IF($H63=0, 0, $B63),0,0, MATCH(1,$I63:$I1060,0), 1), 0.1)),(DATEDIF(IF($H63=0, 0, $B63),IF(OR(IF($H62=0, 0, $B62)&lt;&gt;0,IF($H63=0, 0, $B63)=0), 0, OFFSET(IF($H63=0, 0, $B63),MATCH(1,$I63:$I1060,0) - 1,0)),"D")/365))-1))</f>
        <v>0</v>
      </c>
    </row>
    <row r="64" customFormat="false" ht="13.8" hidden="false" customHeight="false" outlineLevel="0" collapsed="false">
      <c r="A64" s="30" t="n">
        <v>-7000</v>
      </c>
      <c r="B64" s="8" t="n">
        <v>44592</v>
      </c>
      <c r="H64" s="17" t="n">
        <f aca="false">IF(AND(DATE($O$3,$P$3,$Q$3)&lt;=$B64, $B64&lt;=DATE($O$4,$P$4,$Q$4)), IF(AND(H65=0, $A64 &gt; 0), 0, 1), IF(AND(H65&lt;&gt;0, $A64 &gt; 0), 1, 0))</f>
        <v>0</v>
      </c>
      <c r="I64" s="17" t="n">
        <f aca="false">IF(OR($H65&lt;&gt;0,$H64=0), 0, 1)</f>
        <v>0</v>
      </c>
      <c r="J64" s="17" t="n">
        <f aca="true">IF(IF(OR(IF($H63=0, 0, $B63)&lt;&gt;0,IF($H64=0, 0, $B64)=0), 0, OFFSET(IF($H64=0, 0, $B64),MATCH(1,$I64:$I1061,0) - 1,0))=0, 0, IF((DATEDIF(IF($H64=0, 0, $B64),IF(OR(IF($H63=0, 0, $B63)&lt;&gt;0,IF($H64=0, 0, $B64)=0), 0, OFFSET(IF($H64=0, 0, $B64),MATCH(1,$I64:$I1061,0) - 1,0)),"D") &gt;= 365), XIRR(OFFSET(IF($H64=0, 0, $A64),0,0, MATCH(1,$I64:$I1061,0), 1), OFFSET(IF($H64=0, 0, $B64),0,0, MATCH(1,$I64:$I1061,0), 1), 0.1), POWER((1+XIRR(OFFSET(IF($H64=0, 0, $A64),0,0, MATCH(1,$I64:$I1061,0), 1), OFFSET(IF($H64=0, 0, $B64),0,0, MATCH(1,$I64:$I1061,0), 1), 0.1)),(DATEDIF(IF($H64=0, 0, $B64),IF(OR(IF($H63=0, 0, $B63)&lt;&gt;0,IF($H64=0, 0, $B64)=0), 0, OFFSET(IF($H64=0, 0, $B64),MATCH(1,$I64:$I1061,0) - 1,0)),"D")/365))-1))</f>
        <v>0</v>
      </c>
    </row>
    <row r="65" customFormat="false" ht="13.8" hidden="false" customHeight="false" outlineLevel="0" collapsed="false">
      <c r="A65" s="30" t="n">
        <v>-7000</v>
      </c>
      <c r="B65" s="8" t="n">
        <v>44620</v>
      </c>
      <c r="H65" s="17" t="n">
        <f aca="false">IF(AND(DATE($O$3,$P$3,$Q$3)&lt;=$B65, $B65&lt;=DATE($O$4,$P$4,$Q$4)), IF(AND(H66=0, $A65 &gt; 0), 0, 1), IF(AND(H66&lt;&gt;0, $A65 &gt; 0), 1, 0))</f>
        <v>0</v>
      </c>
      <c r="I65" s="17" t="n">
        <f aca="false">IF(OR($H66&lt;&gt;0,$H65=0), 0, 1)</f>
        <v>0</v>
      </c>
      <c r="J65" s="17" t="n">
        <f aca="true">IF(IF(OR(IF($H64=0, 0, $B64)&lt;&gt;0,IF($H65=0, 0, $B65)=0), 0, OFFSET(IF($H65=0, 0, $B65),MATCH(1,$I65:$I1062,0) - 1,0))=0, 0, IF((DATEDIF(IF($H65=0, 0, $B65),IF(OR(IF($H64=0, 0, $B64)&lt;&gt;0,IF($H65=0, 0, $B65)=0), 0, OFFSET(IF($H65=0, 0, $B65),MATCH(1,$I65:$I1062,0) - 1,0)),"D") &gt;= 365), XIRR(OFFSET(IF($H65=0, 0, $A65),0,0, MATCH(1,$I65:$I1062,0), 1), OFFSET(IF($H65=0, 0, $B65),0,0, MATCH(1,$I65:$I1062,0), 1), 0.1), POWER((1+XIRR(OFFSET(IF($H65=0, 0, $A65),0,0, MATCH(1,$I65:$I1062,0), 1), OFFSET(IF($H65=0, 0, $B65),0,0, MATCH(1,$I65:$I1062,0), 1), 0.1)),(DATEDIF(IF($H65=0, 0, $B65),IF(OR(IF($H64=0, 0, $B64)&lt;&gt;0,IF($H65=0, 0, $B65)=0), 0, OFFSET(IF($H65=0, 0, $B65),MATCH(1,$I65:$I1062,0) - 1,0)),"D")/365))-1))</f>
        <v>0</v>
      </c>
    </row>
    <row r="66" customFormat="false" ht="13.8" hidden="false" customHeight="false" outlineLevel="0" collapsed="false">
      <c r="A66" s="30" t="n">
        <v>-7000</v>
      </c>
      <c r="B66" s="8" t="n">
        <v>44650</v>
      </c>
      <c r="H66" s="17" t="n">
        <f aca="false">IF(AND(DATE($O$3,$P$3,$Q$3)&lt;=$B66, $B66&lt;=DATE($O$4,$P$4,$Q$4)), IF(AND(H67=0, $A66 &gt; 0), 0, 1), IF(AND(H67&lt;&gt;0, $A66 &gt; 0), 1, 0))</f>
        <v>0</v>
      </c>
      <c r="I66" s="17" t="n">
        <f aca="false">IF(OR($H67&lt;&gt;0,$H66=0), 0, 1)</f>
        <v>0</v>
      </c>
      <c r="J66" s="17" t="n">
        <f aca="true">IF(IF(OR(IF($H65=0, 0, $B65)&lt;&gt;0,IF($H66=0, 0, $B66)=0), 0, OFFSET(IF($H66=0, 0, $B66),MATCH(1,$I66:$I1063,0) - 1,0))=0, 0, IF((DATEDIF(IF($H66=0, 0, $B66),IF(OR(IF($H65=0, 0, $B65)&lt;&gt;0,IF($H66=0, 0, $B66)=0), 0, OFFSET(IF($H66=0, 0, $B66),MATCH(1,$I66:$I1063,0) - 1,0)),"D") &gt;= 365), XIRR(OFFSET(IF($H66=0, 0, $A66),0,0, MATCH(1,$I66:$I1063,0), 1), OFFSET(IF($H66=0, 0, $B66),0,0, MATCH(1,$I66:$I1063,0), 1), 0.1), POWER((1+XIRR(OFFSET(IF($H66=0, 0, $A66),0,0, MATCH(1,$I66:$I1063,0), 1), OFFSET(IF($H66=0, 0, $B66),0,0, MATCH(1,$I66:$I1063,0), 1), 0.1)),(DATEDIF(IF($H66=0, 0, $B66),IF(OR(IF($H65=0, 0, $B65)&lt;&gt;0,IF($H66=0, 0, $B66)=0), 0, OFFSET(IF($H66=0, 0, $B66),MATCH(1,$I66:$I1063,0) - 1,0)),"D")/365))-1))</f>
        <v>0</v>
      </c>
    </row>
    <row r="67" customFormat="false" ht="13.8" hidden="false" customHeight="false" outlineLevel="0" collapsed="false">
      <c r="A67" s="30" t="n">
        <v>-2530166.65</v>
      </c>
      <c r="B67" s="8" t="n">
        <v>44651</v>
      </c>
      <c r="H67" s="17" t="n">
        <f aca="false">IF(AND(DATE($O$3,$P$3,$Q$3)&lt;=$B67, $B67&lt;=DATE($O$4,$P$4,$Q$4)), IF(AND(H68=0, $A67 &gt; 0), 0, 1), IF(AND(H68&lt;&gt;0, $A67 &gt; 0), 1, 0))</f>
        <v>0</v>
      </c>
      <c r="I67" s="17" t="n">
        <f aca="false">IF(OR($H68&lt;&gt;0,$H67=0), 0, 1)</f>
        <v>0</v>
      </c>
      <c r="J67" s="17" t="n">
        <f aca="true">IF(IF(OR(IF($H66=0, 0, $B66)&lt;&gt;0,IF($H67=0, 0, $B67)=0), 0, OFFSET(IF($H67=0, 0, $B67),MATCH(1,$I67:$I1064,0) - 1,0))=0, 0, IF((DATEDIF(IF($H67=0, 0, $B67),IF(OR(IF($H66=0, 0, $B66)&lt;&gt;0,IF($H67=0, 0, $B67)=0), 0, OFFSET(IF($H67=0, 0, $B67),MATCH(1,$I67:$I1064,0) - 1,0)),"D") &gt;= 365), XIRR(OFFSET(IF($H67=0, 0, $A67),0,0, MATCH(1,$I67:$I1064,0), 1), OFFSET(IF($H67=0, 0, $B67),0,0, MATCH(1,$I67:$I1064,0), 1), 0.1), POWER((1+XIRR(OFFSET(IF($H67=0, 0, $A67),0,0, MATCH(1,$I67:$I1064,0), 1), OFFSET(IF($H67=0, 0, $B67),0,0, MATCH(1,$I67:$I1064,0), 1), 0.1)),(DATEDIF(IF($H67=0, 0, $B67),IF(OR(IF($H66=0, 0, $B66)&lt;&gt;0,IF($H67=0, 0, $B67)=0), 0, OFFSET(IF($H67=0, 0, $B67),MATCH(1,$I67:$I1064,0) - 1,0)),"D")/365))-1))</f>
        <v>0</v>
      </c>
    </row>
    <row r="68" customFormat="false" ht="13.8" hidden="false" customHeight="false" outlineLevel="0" collapsed="false">
      <c r="A68" s="30" t="n">
        <v>2530166.65</v>
      </c>
      <c r="B68" s="8" t="n">
        <v>44651</v>
      </c>
      <c r="H68" s="17" t="n">
        <f aca="false">IF(AND(DATE($O$3,$P$3,$Q$3)&lt;=$B68, $B68&lt;=DATE($O$4,$P$4,$Q$4)), IF(AND(H69=0, $A68 &gt; 0), 0, 1), IF(AND(H69&lt;&gt;0, $A68 &gt; 0), 1, 0))</f>
        <v>1</v>
      </c>
      <c r="I68" s="17" t="n">
        <f aca="false">IF(OR($H69&lt;&gt;0,$H68=0), 0, 1)</f>
        <v>0</v>
      </c>
      <c r="J68" s="17" t="n">
        <f aca="true">IF(IF(OR(IF($H67=0, 0, $B67)&lt;&gt;0,IF($H68=0, 0, $B68)=0), 0, OFFSET(IF($H68=0, 0, $B68),MATCH(1,$I68:$I1065,0) - 1,0))=0, 0, IF((DATEDIF(IF($H68=0, 0, $B68),IF(OR(IF($H67=0, 0, $B67)&lt;&gt;0,IF($H68=0, 0, $B68)=0), 0, OFFSET(IF($H68=0, 0, $B68),MATCH(1,$I68:$I1065,0) - 1,0)),"D") &gt;= 365), XIRR(OFFSET(IF($H68=0, 0, $A68),0,0, MATCH(1,$I68:$I1065,0), 1), OFFSET(IF($H68=0, 0, $B68),0,0, MATCH(1,$I68:$I1065,0), 1), 0.1), POWER((1+XIRR(OFFSET(IF($H68=0, 0, $A68),0,0, MATCH(1,$I68:$I1065,0), 1), OFFSET(IF($H68=0, 0, $B68),0,0, MATCH(1,$I68:$I1065,0), 1), 0.1)),(DATEDIF(IF($H68=0, 0, $B68),IF(OR(IF($H67=0, 0, $B67)&lt;&gt;0,IF($H68=0, 0, $B68)=0), 0, OFFSET(IF($H68=0, 0, $B68),MATCH(1,$I68:$I1065,0) - 1,0)),"D")/365))-1))</f>
        <v>-0.912420233894778</v>
      </c>
    </row>
    <row r="69" customFormat="false" ht="13.8" hidden="false" customHeight="false" outlineLevel="0" collapsed="false">
      <c r="A69" s="30" t="n">
        <v>-50000</v>
      </c>
      <c r="B69" s="8" t="n">
        <v>44677</v>
      </c>
      <c r="H69" s="17" t="n">
        <f aca="false">IF(AND(DATE($O$3,$P$3,$Q$3)&lt;=$B69, $B69&lt;=DATE($O$4,$P$4,$Q$4)), IF(AND(H70=0, $A69 &gt; 0), 0, 1), IF(AND(H70&lt;&gt;0, $A69 &gt; 0), 1, 0))</f>
        <v>1</v>
      </c>
      <c r="I69" s="17" t="n">
        <f aca="false">IF(OR($H70&lt;&gt;0,$H69=0), 0, 1)</f>
        <v>0</v>
      </c>
      <c r="J69" s="17" t="n">
        <f aca="true">IF(IF(OR(IF($H68=0, 0, $B68)&lt;&gt;0,IF($H69=0, 0, $B69)=0), 0, OFFSET(IF($H69=0, 0, $B69),MATCH(1,$I69:$I1066,0) - 1,0))=0, 0, IF((DATEDIF(IF($H69=0, 0, $B69),IF(OR(IF($H68=0, 0, $B68)&lt;&gt;0,IF($H69=0, 0, $B69)=0), 0, OFFSET(IF($H69=0, 0, $B69),MATCH(1,$I69:$I1066,0) - 1,0)),"D") &gt;= 365), XIRR(OFFSET(IF($H69=0, 0, $A69),0,0, MATCH(1,$I69:$I1066,0), 1), OFFSET(IF($H69=0, 0, $B69),0,0, MATCH(1,$I69:$I1066,0), 1), 0.1), POWER((1+XIRR(OFFSET(IF($H69=0, 0, $A69),0,0, MATCH(1,$I69:$I1066,0), 1), OFFSET(IF($H69=0, 0, $B69),0,0, MATCH(1,$I69:$I1066,0), 1), 0.1)),(DATEDIF(IF($H69=0, 0, $B69),IF(OR(IF($H68=0, 0, $B68)&lt;&gt;0,IF($H69=0, 0, $B69)=0), 0, OFFSET(IF($H69=0, 0, $B69),MATCH(1,$I69:$I1066,0) - 1,0)),"D")/365))-1))</f>
        <v>0</v>
      </c>
    </row>
    <row r="70" customFormat="false" ht="13.8" hidden="false" customHeight="false" outlineLevel="0" collapsed="false">
      <c r="A70" s="30" t="n">
        <v>-7000</v>
      </c>
      <c r="B70" s="8" t="n">
        <v>44681</v>
      </c>
      <c r="H70" s="17" t="n">
        <f aca="false">IF(AND(DATE($O$3,$P$3,$Q$3)&lt;=$B70, $B70&lt;=DATE($O$4,$P$4,$Q$4)), IF(AND(H71=0, $A70 &gt; 0), 0, 1), IF(AND(H71&lt;&gt;0, $A70 &gt; 0), 1, 0))</f>
        <v>1</v>
      </c>
      <c r="I70" s="17" t="n">
        <f aca="false">IF(OR($H71&lt;&gt;0,$H70=0), 0, 1)</f>
        <v>0</v>
      </c>
      <c r="J70" s="17" t="n">
        <f aca="true">IF(IF(OR(IF($H69=0, 0, $B69)&lt;&gt;0,IF($H70=0, 0, $B70)=0), 0, OFFSET(IF($H70=0, 0, $B70),MATCH(1,$I70:$I1067,0) - 1,0))=0, 0, IF((DATEDIF(IF($H70=0, 0, $B70),IF(OR(IF($H69=0, 0, $B69)&lt;&gt;0,IF($H70=0, 0, $B70)=0), 0, OFFSET(IF($H70=0, 0, $B70),MATCH(1,$I70:$I1067,0) - 1,0)),"D") &gt;= 365), XIRR(OFFSET(IF($H70=0, 0, $A70),0,0, MATCH(1,$I70:$I1067,0), 1), OFFSET(IF($H70=0, 0, $B70),0,0, MATCH(1,$I70:$I1067,0), 1), 0.1), POWER((1+XIRR(OFFSET(IF($H70=0, 0, $A70),0,0, MATCH(1,$I70:$I1067,0), 1), OFFSET(IF($H70=0, 0, $B70),0,0, MATCH(1,$I70:$I1067,0), 1), 0.1)),(DATEDIF(IF($H70=0, 0, $B70),IF(OR(IF($H69=0, 0, $B69)&lt;&gt;0,IF($H70=0, 0, $B70)=0), 0, OFFSET(IF($H70=0, 0, $B70),MATCH(1,$I70:$I1067,0) - 1,0)),"D")/365))-1))</f>
        <v>0</v>
      </c>
    </row>
    <row r="71" customFormat="false" ht="13.8" hidden="false" customHeight="false" outlineLevel="0" collapsed="false">
      <c r="A71" s="30" t="n">
        <v>-7000</v>
      </c>
      <c r="B71" s="8" t="n">
        <v>44711</v>
      </c>
      <c r="H71" s="17" t="n">
        <f aca="false">IF(AND(DATE($O$3,$P$3,$Q$3)&lt;=$B71, $B71&lt;=DATE($O$4,$P$4,$Q$4)), IF(AND(H72=0, $A71 &gt; 0), 0, 1), IF(AND(H72&lt;&gt;0, $A71 &gt; 0), 1, 0))</f>
        <v>1</v>
      </c>
      <c r="I71" s="17" t="n">
        <f aca="false">IF(OR($H72&lt;&gt;0,$H71=0), 0, 1)</f>
        <v>0</v>
      </c>
      <c r="J71" s="17" t="n">
        <f aca="true">IF(IF(OR(IF($H70=0, 0, $B70)&lt;&gt;0,IF($H71=0, 0, $B71)=0), 0, OFFSET(IF($H71=0, 0, $B71),MATCH(1,$I71:$I1068,0) - 1,0))=0, 0, IF((DATEDIF(IF($H71=0, 0, $B71),IF(OR(IF($H70=0, 0, $B70)&lt;&gt;0,IF($H71=0, 0, $B71)=0), 0, OFFSET(IF($H71=0, 0, $B71),MATCH(1,$I71:$I1068,0) - 1,0)),"D") &gt;= 365), XIRR(OFFSET(IF($H71=0, 0, $A71),0,0, MATCH(1,$I71:$I1068,0), 1), OFFSET(IF($H71=0, 0, $B71),0,0, MATCH(1,$I71:$I1068,0), 1), 0.1), POWER((1+XIRR(OFFSET(IF($H71=0, 0, $A71),0,0, MATCH(1,$I71:$I1068,0), 1), OFFSET(IF($H71=0, 0, $B71),0,0, MATCH(1,$I71:$I1068,0), 1), 0.1)),(DATEDIF(IF($H71=0, 0, $B71),IF(OR(IF($H70=0, 0, $B70)&lt;&gt;0,IF($H71=0, 0, $B71)=0), 0, OFFSET(IF($H71=0, 0, $B71),MATCH(1,$I71:$I1068,0) - 1,0)),"D")/365))-1))</f>
        <v>0</v>
      </c>
    </row>
    <row r="72" customFormat="false" ht="13.8" hidden="false" customHeight="false" outlineLevel="0" collapsed="false">
      <c r="A72" s="30" t="n">
        <v>-7000</v>
      </c>
      <c r="B72" s="8" t="n">
        <v>44742</v>
      </c>
      <c r="H72" s="17" t="n">
        <f aca="false">IF(AND(DATE($O$3,$P$3,$Q$3)&lt;=$B72, $B72&lt;=DATE($O$4,$P$4,$Q$4)), IF(AND(H73=0, $A72 &gt; 0), 0, 1), IF(AND(H73&lt;&gt;0, $A72 &gt; 0), 1, 0))</f>
        <v>1</v>
      </c>
      <c r="I72" s="17" t="n">
        <f aca="false">IF(OR($H73&lt;&gt;0,$H72=0), 0, 1)</f>
        <v>0</v>
      </c>
      <c r="J72" s="17" t="n">
        <f aca="true">IF(IF(OR(IF($H71=0, 0, $B71)&lt;&gt;0,IF($H72=0, 0, $B72)=0), 0, OFFSET(IF($H72=0, 0, $B72),MATCH(1,$I72:$I1069,0) - 1,0))=0, 0, IF((DATEDIF(IF($H72=0, 0, $B72),IF(OR(IF($H71=0, 0, $B71)&lt;&gt;0,IF($H72=0, 0, $B72)=0), 0, OFFSET(IF($H72=0, 0, $B72),MATCH(1,$I72:$I1069,0) - 1,0)),"D") &gt;= 365), XIRR(OFFSET(IF($H72=0, 0, $A72),0,0, MATCH(1,$I72:$I1069,0), 1), OFFSET(IF($H72=0, 0, $B72),0,0, MATCH(1,$I72:$I1069,0), 1), 0.1), POWER((1+XIRR(OFFSET(IF($H72=0, 0, $A72),0,0, MATCH(1,$I72:$I1069,0), 1), OFFSET(IF($H72=0, 0, $B72),0,0, MATCH(1,$I72:$I1069,0), 1), 0.1)),(DATEDIF(IF($H72=0, 0, $B72),IF(OR(IF($H71=0, 0, $B71)&lt;&gt;0,IF($H72=0, 0, $B72)=0), 0, OFFSET(IF($H72=0, 0, $B72),MATCH(1,$I72:$I1069,0) - 1,0)),"D")/365))-1))</f>
        <v>0</v>
      </c>
    </row>
    <row r="73" customFormat="false" ht="13.8" hidden="false" customHeight="false" outlineLevel="0" collapsed="false">
      <c r="A73" s="30" t="n">
        <v>-2081693.57</v>
      </c>
      <c r="B73" s="8" t="n">
        <v>44742</v>
      </c>
      <c r="H73" s="17" t="n">
        <f aca="false">IF(AND(DATE($O$3,$P$3,$Q$3)&lt;=$B73, $B73&lt;=DATE($O$4,$P$4,$Q$4)), IF(AND(H74=0, $A73 &gt; 0), 0, 1), IF(AND(H74&lt;&gt;0, $A73 &gt; 0), 1, 0))</f>
        <v>1</v>
      </c>
      <c r="I73" s="17" t="n">
        <f aca="false">IF(OR($H74&lt;&gt;0,$H73=0), 0, 1)</f>
        <v>0</v>
      </c>
      <c r="J73" s="17" t="n">
        <f aca="true">IF(IF(OR(IF($H72=0, 0, $B72)&lt;&gt;0,IF($H73=0, 0, $B73)=0), 0, OFFSET(IF($H73=0, 0, $B73),MATCH(1,$I73:$I1070,0) - 1,0))=0, 0, IF((DATEDIF(IF($H73=0, 0, $B73),IF(OR(IF($H72=0, 0, $B72)&lt;&gt;0,IF($H73=0, 0, $B73)=0), 0, OFFSET(IF($H73=0, 0, $B73),MATCH(1,$I73:$I1070,0) - 1,0)),"D") &gt;= 365), XIRR(OFFSET(IF($H73=0, 0, $A73),0,0, MATCH(1,$I73:$I1070,0), 1), OFFSET(IF($H73=0, 0, $B73),0,0, MATCH(1,$I73:$I1070,0), 1), 0.1), POWER((1+XIRR(OFFSET(IF($H73=0, 0, $A73),0,0, MATCH(1,$I73:$I1070,0), 1), OFFSET(IF($H73=0, 0, $B73),0,0, MATCH(1,$I73:$I1070,0), 1), 0.1)),(DATEDIF(IF($H73=0, 0, $B73),IF(OR(IF($H72=0, 0, $B72)&lt;&gt;0,IF($H73=0, 0, $B73)=0), 0, OFFSET(IF($H73=0, 0, $B73),MATCH(1,$I73:$I1070,0) - 1,0)),"D")/365))-1))</f>
        <v>0</v>
      </c>
    </row>
    <row r="74" customFormat="false" ht="13.8" hidden="false" customHeight="false" outlineLevel="0" collapsed="false">
      <c r="A74" s="30" t="n">
        <v>2081693.57</v>
      </c>
      <c r="B74" s="8" t="n">
        <v>44742</v>
      </c>
      <c r="H74" s="17" t="n">
        <f aca="false">IF(AND(DATE($O$3,$P$3,$Q$3)&lt;=$B74, $B74&lt;=DATE($O$4,$P$4,$Q$4)), IF(AND(H75=0, $A74 &gt; 0), 0, 1), IF(AND(H75&lt;&gt;0, $A74 &gt; 0), 1, 0))</f>
        <v>1</v>
      </c>
      <c r="I74" s="17" t="n">
        <f aca="false">IF(OR($H75&lt;&gt;0,$H74=0), 0, 1)</f>
        <v>0</v>
      </c>
      <c r="J74" s="17" t="n">
        <f aca="true">IF(IF(OR(IF($H73=0, 0, $B73)&lt;&gt;0,IF($H74=0, 0, $B74)=0), 0, OFFSET(IF($H74=0, 0, $B74),MATCH(1,$I74:$I1071,0) - 1,0))=0, 0, IF((DATEDIF(IF($H74=0, 0, $B74),IF(OR(IF($H73=0, 0, $B73)&lt;&gt;0,IF($H74=0, 0, $B74)=0), 0, OFFSET(IF($H74=0, 0, $B74),MATCH(1,$I74:$I1071,0) - 1,0)),"D") &gt;= 365), XIRR(OFFSET(IF($H74=0, 0, $A74),0,0, MATCH(1,$I74:$I1071,0), 1), OFFSET(IF($H74=0, 0, $B74),0,0, MATCH(1,$I74:$I1071,0), 1), 0.1), POWER((1+XIRR(OFFSET(IF($H74=0, 0, $A74),0,0, MATCH(1,$I74:$I1071,0), 1), OFFSET(IF($H74=0, 0, $B74),0,0, MATCH(1,$I74:$I1071,0), 1), 0.1)),(DATEDIF(IF($H74=0, 0, $B74),IF(OR(IF($H73=0, 0, $B73)&lt;&gt;0,IF($H74=0, 0, $B74)=0), 0, OFFSET(IF($H74=0, 0, $B74),MATCH(1,$I74:$I1071,0) - 1,0)),"D")/365))-1))</f>
        <v>0</v>
      </c>
    </row>
    <row r="75" customFormat="false" ht="13.8" hidden="false" customHeight="false" outlineLevel="0" collapsed="false">
      <c r="A75" s="30" t="n">
        <v>-7000</v>
      </c>
      <c r="B75" s="8" t="n">
        <v>44772</v>
      </c>
      <c r="H75" s="17" t="n">
        <f aca="false">IF(AND(DATE($O$3,$P$3,$Q$3)&lt;=$B75, $B75&lt;=DATE($O$4,$P$4,$Q$4)), IF(AND(H76=0, $A75 &gt; 0), 0, 1), IF(AND(H76&lt;&gt;0, $A75 &gt; 0), 1, 0))</f>
        <v>1</v>
      </c>
      <c r="I75" s="17" t="n">
        <f aca="false">IF(OR($H76&lt;&gt;0,$H75=0), 0, 1)</f>
        <v>0</v>
      </c>
      <c r="J75" s="17" t="n">
        <f aca="true">IF(IF(OR(IF($H74=0, 0, $B74)&lt;&gt;0,IF($H75=0, 0, $B75)=0), 0, OFFSET(IF($H75=0, 0, $B75),MATCH(1,$I75:$I1072,0) - 1,0))=0, 0, IF((DATEDIF(IF($H75=0, 0, $B75),IF(OR(IF($H74=0, 0, $B74)&lt;&gt;0,IF($H75=0, 0, $B75)=0), 0, OFFSET(IF($H75=0, 0, $B75),MATCH(1,$I75:$I1072,0) - 1,0)),"D") &gt;= 365), XIRR(OFFSET(IF($H75=0, 0, $A75),0,0, MATCH(1,$I75:$I1072,0), 1), OFFSET(IF($H75=0, 0, $B75),0,0, MATCH(1,$I75:$I1072,0), 1), 0.1), POWER((1+XIRR(OFFSET(IF($H75=0, 0, $A75),0,0, MATCH(1,$I75:$I1072,0), 1), OFFSET(IF($H75=0, 0, $B75),0,0, MATCH(1,$I75:$I1072,0), 1), 0.1)),(DATEDIF(IF($H75=0, 0, $B75),IF(OR(IF($H74=0, 0, $B74)&lt;&gt;0,IF($H75=0, 0, $B75)=0), 0, OFFSET(IF($H75=0, 0, $B75),MATCH(1,$I75:$I1072,0) - 1,0)),"D")/365))-1))</f>
        <v>0</v>
      </c>
    </row>
    <row r="76" customFormat="false" ht="13.8" hidden="false" customHeight="false" outlineLevel="0" collapsed="false">
      <c r="A76" s="30" t="n">
        <v>-7000</v>
      </c>
      <c r="B76" s="8" t="n">
        <v>44803</v>
      </c>
      <c r="H76" s="17" t="n">
        <f aca="false">IF(AND(DATE($O$3,$P$3,$Q$3)&lt;=$B76, $B76&lt;=DATE($O$4,$P$4,$Q$4)), IF(AND(H77=0, $A76 &gt; 0), 0, 1), IF(AND(H77&lt;&gt;0, $A76 &gt; 0), 1, 0))</f>
        <v>1</v>
      </c>
      <c r="I76" s="17" t="n">
        <f aca="false">IF(OR($H77&lt;&gt;0,$H76=0), 0, 1)</f>
        <v>0</v>
      </c>
      <c r="J76" s="17" t="n">
        <f aca="true">IF(IF(OR(IF($H75=0, 0, $B75)&lt;&gt;0,IF($H76=0, 0, $B76)=0), 0, OFFSET(IF($H76=0, 0, $B76),MATCH(1,$I76:$I1073,0) - 1,0))=0, 0, IF((DATEDIF(IF($H76=0, 0, $B76),IF(OR(IF($H75=0, 0, $B75)&lt;&gt;0,IF($H76=0, 0, $B76)=0), 0, OFFSET(IF($H76=0, 0, $B76),MATCH(1,$I76:$I1073,0) - 1,0)),"D") &gt;= 365), XIRR(OFFSET(IF($H76=0, 0, $A76),0,0, MATCH(1,$I76:$I1073,0), 1), OFFSET(IF($H76=0, 0, $B76),0,0, MATCH(1,$I76:$I1073,0), 1), 0.1), POWER((1+XIRR(OFFSET(IF($H76=0, 0, $A76),0,0, MATCH(1,$I76:$I1073,0), 1), OFFSET(IF($H76=0, 0, $B76),0,0, MATCH(1,$I76:$I1073,0), 1), 0.1)),(DATEDIF(IF($H76=0, 0, $B76),IF(OR(IF($H75=0, 0, $B75)&lt;&gt;0,IF($H76=0, 0, $B76)=0), 0, OFFSET(IF($H76=0, 0, $B76),MATCH(1,$I76:$I1073,0) - 1,0)),"D")/365))-1))</f>
        <v>0</v>
      </c>
    </row>
    <row r="77" customFormat="false" ht="13.8" hidden="false" customHeight="false" outlineLevel="0" collapsed="false">
      <c r="A77" s="30" t="n">
        <v>-7000</v>
      </c>
      <c r="B77" s="8" t="n">
        <v>44833</v>
      </c>
      <c r="H77" s="17" t="n">
        <f aca="false">IF(AND(DATE($O$3,$P$3,$Q$3)&lt;=$B77, $B77&lt;=DATE($O$4,$P$4,$Q$4)), IF(AND(H78=0, $A77 &gt; 0), 0, 1), IF(AND(H78&lt;&gt;0, $A77 &gt; 0), 1, 0))</f>
        <v>1</v>
      </c>
      <c r="I77" s="17" t="n">
        <f aca="false">IF(OR($H78&lt;&gt;0,$H77=0), 0, 1)</f>
        <v>0</v>
      </c>
      <c r="J77" s="17" t="n">
        <f aca="true">IF(IF(OR(IF($H76=0, 0, $B76)&lt;&gt;0,IF($H77=0, 0, $B77)=0), 0, OFFSET(IF($H77=0, 0, $B77),MATCH(1,$I77:$I1074,0) - 1,0))=0, 0, IF((DATEDIF(IF($H77=0, 0, $B77),IF(OR(IF($H76=0, 0, $B76)&lt;&gt;0,IF($H77=0, 0, $B77)=0), 0, OFFSET(IF($H77=0, 0, $B77),MATCH(1,$I77:$I1074,0) - 1,0)),"D") &gt;= 365), XIRR(OFFSET(IF($H77=0, 0, $A77),0,0, MATCH(1,$I77:$I1074,0), 1), OFFSET(IF($H77=0, 0, $B77),0,0, MATCH(1,$I77:$I1074,0), 1), 0.1), POWER((1+XIRR(OFFSET(IF($H77=0, 0, $A77),0,0, MATCH(1,$I77:$I1074,0), 1), OFFSET(IF($H77=0, 0, $B77),0,0, MATCH(1,$I77:$I1074,0), 1), 0.1)),(DATEDIF(IF($H77=0, 0, $B77),IF(OR(IF($H76=0, 0, $B76)&lt;&gt;0,IF($H77=0, 0, $B77)=0), 0, OFFSET(IF($H77=0, 0, $B77),MATCH(1,$I77:$I1074,0) - 1,0)),"D")/365))-1))</f>
        <v>0</v>
      </c>
    </row>
    <row r="78" customFormat="false" ht="13.8" hidden="false" customHeight="false" outlineLevel="0" collapsed="false">
      <c r="A78" s="30" t="n">
        <v>-2130075.65</v>
      </c>
      <c r="B78" s="8" t="n">
        <v>44834</v>
      </c>
      <c r="H78" s="17" t="n">
        <f aca="false">IF(AND(DATE($O$3,$P$3,$Q$3)&lt;=$B78, $B78&lt;=DATE($O$4,$P$4,$Q$4)), IF(AND(H79=0, $A78 &gt; 0), 0, 1), IF(AND(H79&lt;&gt;0, $A78 &gt; 0), 1, 0))</f>
        <v>1</v>
      </c>
      <c r="I78" s="17" t="n">
        <f aca="false">IF(OR($H79&lt;&gt;0,$H78=0), 0, 1)</f>
        <v>0</v>
      </c>
      <c r="J78" s="17" t="n">
        <f aca="true">IF(IF(OR(IF($H77=0, 0, $B77)&lt;&gt;0,IF($H78=0, 0, $B78)=0), 0, OFFSET(IF($H78=0, 0, $B78),MATCH(1,$I78:$I1075,0) - 1,0))=0, 0, IF((DATEDIF(IF($H78=0, 0, $B78),IF(OR(IF($H77=0, 0, $B77)&lt;&gt;0,IF($H78=0, 0, $B78)=0), 0, OFFSET(IF($H78=0, 0, $B78),MATCH(1,$I78:$I1075,0) - 1,0)),"D") &gt;= 365), XIRR(OFFSET(IF($H78=0, 0, $A78),0,0, MATCH(1,$I78:$I1075,0), 1), OFFSET(IF($H78=0, 0, $B78),0,0, MATCH(1,$I78:$I1075,0), 1), 0.1), POWER((1+XIRR(OFFSET(IF($H78=0, 0, $A78),0,0, MATCH(1,$I78:$I1075,0), 1), OFFSET(IF($H78=0, 0, $B78),0,0, MATCH(1,$I78:$I1075,0), 1), 0.1)),(DATEDIF(IF($H78=0, 0, $B78),IF(OR(IF($H77=0, 0, $B77)&lt;&gt;0,IF($H78=0, 0, $B78)=0), 0, OFFSET(IF($H78=0, 0, $B78),MATCH(1,$I78:$I1075,0) - 1,0)),"D")/365))-1))</f>
        <v>0</v>
      </c>
    </row>
    <row r="79" customFormat="false" ht="13.8" hidden="false" customHeight="false" outlineLevel="0" collapsed="false">
      <c r="A79" s="30" t="n">
        <v>2130075.65</v>
      </c>
      <c r="B79" s="8" t="n">
        <v>44834</v>
      </c>
      <c r="H79" s="17" t="n">
        <f aca="false">IF(AND(DATE($O$3,$P$3,$Q$3)&lt;=$B79, $B79&lt;=DATE($O$4,$P$4,$Q$4)), IF(AND(H80=0, $A79 &gt; 0), 0, 1), IF(AND(H80&lt;&gt;0, $A79 &gt; 0), 1, 0))</f>
        <v>1</v>
      </c>
      <c r="I79" s="17" t="n">
        <f aca="false">IF(OR($H80&lt;&gt;0,$H79=0), 0, 1)</f>
        <v>0</v>
      </c>
      <c r="J79" s="17" t="n">
        <f aca="true">IF(IF(OR(IF($H78=0, 0, $B78)&lt;&gt;0,IF($H79=0, 0, $B79)=0), 0, OFFSET(IF($H79=0, 0, $B79),MATCH(1,$I79:$I1076,0) - 1,0))=0, 0, IF((DATEDIF(IF($H79=0, 0, $B79),IF(OR(IF($H78=0, 0, $B78)&lt;&gt;0,IF($H79=0, 0, $B79)=0), 0, OFFSET(IF($H79=0, 0, $B79),MATCH(1,$I79:$I1076,0) - 1,0)),"D") &gt;= 365), XIRR(OFFSET(IF($H79=0, 0, $A79),0,0, MATCH(1,$I79:$I1076,0), 1), OFFSET(IF($H79=0, 0, $B79),0,0, MATCH(1,$I79:$I1076,0), 1), 0.1), POWER((1+XIRR(OFFSET(IF($H79=0, 0, $A79),0,0, MATCH(1,$I79:$I1076,0), 1), OFFSET(IF($H79=0, 0, $B79),0,0, MATCH(1,$I79:$I1076,0), 1), 0.1)),(DATEDIF(IF($H79=0, 0, $B79),IF(OR(IF($H78=0, 0, $B78)&lt;&gt;0,IF($H79=0, 0, $B79)=0), 0, OFFSET(IF($H79=0, 0, $B79),MATCH(1,$I79:$I1076,0) - 1,0)),"D")/365))-1))</f>
        <v>0</v>
      </c>
    </row>
    <row r="80" customFormat="false" ht="13.8" hidden="false" customHeight="false" outlineLevel="0" collapsed="false">
      <c r="A80" s="30" t="n">
        <v>-25000</v>
      </c>
      <c r="B80" s="8" t="n">
        <v>44859</v>
      </c>
      <c r="H80" s="17" t="n">
        <f aca="false">IF(AND(DATE($O$3,$P$3,$Q$3)&lt;=$B80, $B80&lt;=DATE($O$4,$P$4,$Q$4)), IF(AND(H81=0, $A80 &gt; 0), 0, 1), IF(AND(H81&lt;&gt;0, $A80 &gt; 0), 1, 0))</f>
        <v>1</v>
      </c>
      <c r="I80" s="17" t="n">
        <f aca="false">IF(OR($H81&lt;&gt;0,$H80=0), 0, 1)</f>
        <v>0</v>
      </c>
      <c r="J80" s="17" t="n">
        <f aca="true">IF(IF(OR(IF($H79=0, 0, $B79)&lt;&gt;0,IF($H80=0, 0, $B80)=0), 0, OFFSET(IF($H80=0, 0, $B80),MATCH(1,$I80:$I1077,0) - 1,0))=0, 0, IF((DATEDIF(IF($H80=0, 0, $B80),IF(OR(IF($H79=0, 0, $B79)&lt;&gt;0,IF($H80=0, 0, $B80)=0), 0, OFFSET(IF($H80=0, 0, $B80),MATCH(1,$I80:$I1077,0) - 1,0)),"D") &gt;= 365), XIRR(OFFSET(IF($H80=0, 0, $A80),0,0, MATCH(1,$I80:$I1077,0), 1), OFFSET(IF($H80=0, 0, $B80),0,0, MATCH(1,$I80:$I1077,0), 1), 0.1), POWER((1+XIRR(OFFSET(IF($H80=0, 0, $A80),0,0, MATCH(1,$I80:$I1077,0), 1), OFFSET(IF($H80=0, 0, $B80),0,0, MATCH(1,$I80:$I1077,0), 1), 0.1)),(DATEDIF(IF($H80=0, 0, $B80),IF(OR(IF($H79=0, 0, $B79)&lt;&gt;0,IF($H80=0, 0, $B80)=0), 0, OFFSET(IF($H80=0, 0, $B80),MATCH(1,$I80:$I1077,0) - 1,0)),"D")/365))-1))</f>
        <v>0</v>
      </c>
    </row>
    <row r="81" customFormat="false" ht="13.8" hidden="false" customHeight="false" outlineLevel="0" collapsed="false">
      <c r="A81" s="30" t="n">
        <v>-7000</v>
      </c>
      <c r="B81" s="8" t="n">
        <v>44864</v>
      </c>
      <c r="H81" s="17" t="n">
        <f aca="false">IF(AND(DATE($O$3,$P$3,$Q$3)&lt;=$B81, $B81&lt;=DATE($O$4,$P$4,$Q$4)), IF(AND(H82=0, $A81 &gt; 0), 0, 1), IF(AND(H82&lt;&gt;0, $A81 &gt; 0), 1, 0))</f>
        <v>1</v>
      </c>
      <c r="I81" s="17" t="n">
        <f aca="false">IF(OR($H82&lt;&gt;0,$H81=0), 0, 1)</f>
        <v>0</v>
      </c>
      <c r="J81" s="17" t="n">
        <f aca="true">IF(IF(OR(IF($H80=0, 0, $B80)&lt;&gt;0,IF($H81=0, 0, $B81)=0), 0, OFFSET(IF($H81=0, 0, $B81),MATCH(1,$I81:$I1078,0) - 1,0))=0, 0, IF((DATEDIF(IF($H81=0, 0, $B81),IF(OR(IF($H80=0, 0, $B80)&lt;&gt;0,IF($H81=0, 0, $B81)=0), 0, OFFSET(IF($H81=0, 0, $B81),MATCH(1,$I81:$I1078,0) - 1,0)),"D") &gt;= 365), XIRR(OFFSET(IF($H81=0, 0, $A81),0,0, MATCH(1,$I81:$I1078,0), 1), OFFSET(IF($H81=0, 0, $B81),0,0, MATCH(1,$I81:$I1078,0), 1), 0.1), POWER((1+XIRR(OFFSET(IF($H81=0, 0, $A81),0,0, MATCH(1,$I81:$I1078,0), 1), OFFSET(IF($H81=0, 0, $B81),0,0, MATCH(1,$I81:$I1078,0), 1), 0.1)),(DATEDIF(IF($H81=0, 0, $B81),IF(OR(IF($H80=0, 0, $B80)&lt;&gt;0,IF($H81=0, 0, $B81)=0), 0, OFFSET(IF($H81=0, 0, $B81),MATCH(1,$I81:$I1078,0) - 1,0)),"D")/365))-1))</f>
        <v>0</v>
      </c>
    </row>
    <row r="82" customFormat="false" ht="13.8" hidden="false" customHeight="false" outlineLevel="0" collapsed="false">
      <c r="A82" s="30" t="n">
        <v>-7000</v>
      </c>
      <c r="B82" s="8" t="n">
        <v>44895</v>
      </c>
      <c r="H82" s="17" t="n">
        <f aca="false">IF(AND(DATE($O$3,$P$3,$Q$3)&lt;=$B82, $B82&lt;=DATE($O$4,$P$4,$Q$4)), IF(AND(H83=0, $A82 &gt; 0), 0, 1), IF(AND(H83&lt;&gt;0, $A82 &gt; 0), 1, 0))</f>
        <v>1</v>
      </c>
      <c r="I82" s="17" t="n">
        <f aca="false">IF(OR($H83&lt;&gt;0,$H82=0), 0, 1)</f>
        <v>0</v>
      </c>
      <c r="J82" s="17" t="n">
        <f aca="true">IF(IF(OR(IF($H81=0, 0, $B81)&lt;&gt;0,IF($H82=0, 0, $B82)=0), 0, OFFSET(IF($H82=0, 0, $B82),MATCH(1,$I82:$I1079,0) - 1,0))=0, 0, IF((DATEDIF(IF($H82=0, 0, $B82),IF(OR(IF($H81=0, 0, $B81)&lt;&gt;0,IF($H82=0, 0, $B82)=0), 0, OFFSET(IF($H82=0, 0, $B82),MATCH(1,$I82:$I1079,0) - 1,0)),"D") &gt;= 365), XIRR(OFFSET(IF($H82=0, 0, $A82),0,0, MATCH(1,$I82:$I1079,0), 1), OFFSET(IF($H82=0, 0, $B82),0,0, MATCH(1,$I82:$I1079,0), 1), 0.1), POWER((1+XIRR(OFFSET(IF($H82=0, 0, $A82),0,0, MATCH(1,$I82:$I1079,0), 1), OFFSET(IF($H82=0, 0, $B82),0,0, MATCH(1,$I82:$I1079,0), 1), 0.1)),(DATEDIF(IF($H82=0, 0, $B82),IF(OR(IF($H81=0, 0, $B81)&lt;&gt;0,IF($H82=0, 0, $B82)=0), 0, OFFSET(IF($H82=0, 0, $B82),MATCH(1,$I82:$I1079,0) - 1,0)),"D")/365))-1))</f>
        <v>0</v>
      </c>
    </row>
    <row r="83" customFormat="false" ht="13.8" hidden="false" customHeight="false" outlineLevel="0" collapsed="false">
      <c r="A83" s="30" t="n">
        <v>-7000</v>
      </c>
      <c r="B83" s="8" t="n">
        <v>44924</v>
      </c>
      <c r="H83" s="17" t="n">
        <f aca="false">IF(AND(DATE($O$3,$P$3,$Q$3)&lt;=$B83, $B83&lt;=DATE($O$4,$P$4,$Q$4)), IF(AND(H84=0, $A83 &gt; 0), 0, 1), IF(AND(H84&lt;&gt;0, $A83 &gt; 0), 1, 0))</f>
        <v>1</v>
      </c>
      <c r="I83" s="17" t="n">
        <f aca="false">IF(OR($H84&lt;&gt;0,$H83=0), 0, 1)</f>
        <v>0</v>
      </c>
      <c r="J83" s="17" t="n">
        <f aca="true">IF(IF(OR(IF($H82=0, 0, $B82)&lt;&gt;0,IF($H83=0, 0, $B83)=0), 0, OFFSET(IF($H83=0, 0, $B83),MATCH(1,$I83:$I1080,0) - 1,0))=0, 0, IF((DATEDIF(IF($H83=0, 0, $B83),IF(OR(IF($H82=0, 0, $B82)&lt;&gt;0,IF($H83=0, 0, $B83)=0), 0, OFFSET(IF($H83=0, 0, $B83),MATCH(1,$I83:$I1080,0) - 1,0)),"D") &gt;= 365), XIRR(OFFSET(IF($H83=0, 0, $A83),0,0, MATCH(1,$I83:$I1080,0), 1), OFFSET(IF($H83=0, 0, $B83),0,0, MATCH(1,$I83:$I1080,0), 1), 0.1), POWER((1+XIRR(OFFSET(IF($H83=0, 0, $A83),0,0, MATCH(1,$I83:$I1080,0), 1), OFFSET(IF($H83=0, 0, $B83),0,0, MATCH(1,$I83:$I1080,0), 1), 0.1)),(DATEDIF(IF($H83=0, 0, $B83),IF(OR(IF($H82=0, 0, $B82)&lt;&gt;0,IF($H83=0, 0, $B83)=0), 0, OFFSET(IF($H83=0, 0, $B83),MATCH(1,$I83:$I1080,0) - 1,0)),"D")/365))-1))</f>
        <v>0</v>
      </c>
    </row>
    <row r="84" customFormat="false" ht="13.8" hidden="false" customHeight="false" outlineLevel="0" collapsed="false">
      <c r="A84" s="30" t="n">
        <v>-2156935.87</v>
      </c>
      <c r="B84" s="8" t="n">
        <v>44926</v>
      </c>
      <c r="H84" s="17" t="n">
        <f aca="false">IF(AND(DATE($O$3,$P$3,$Q$3)&lt;=$B84, $B84&lt;=DATE($O$4,$P$4,$Q$4)), IF(AND(H85=0, $A84 &gt; 0), 0, 1), IF(AND(H85&lt;&gt;0, $A84 &gt; 0), 1, 0))</f>
        <v>1</v>
      </c>
      <c r="I84" s="17" t="n">
        <f aca="false">IF(OR($H85&lt;&gt;0,$H84=0), 0, 1)</f>
        <v>0</v>
      </c>
      <c r="J84" s="17" t="n">
        <f aca="true">IF(IF(OR(IF($H83=0, 0, $B83)&lt;&gt;0,IF($H84=0, 0, $B84)=0), 0, OFFSET(IF($H84=0, 0, $B84),MATCH(1,$I84:$I1081,0) - 1,0))=0, 0, IF((DATEDIF(IF($H84=0, 0, $B84),IF(OR(IF($H83=0, 0, $B83)&lt;&gt;0,IF($H84=0, 0, $B84)=0), 0, OFFSET(IF($H84=0, 0, $B84),MATCH(1,$I84:$I1081,0) - 1,0)),"D") &gt;= 365), XIRR(OFFSET(IF($H84=0, 0, $A84),0,0, MATCH(1,$I84:$I1081,0), 1), OFFSET(IF($H84=0, 0, $B84),0,0, MATCH(1,$I84:$I1081,0), 1), 0.1), POWER((1+XIRR(OFFSET(IF($H84=0, 0, $A84),0,0, MATCH(1,$I84:$I1081,0), 1), OFFSET(IF($H84=0, 0, $B84),0,0, MATCH(1,$I84:$I1081,0), 1), 0.1)),(DATEDIF(IF($H84=0, 0, $B84),IF(OR(IF($H83=0, 0, $B83)&lt;&gt;0,IF($H84=0, 0, $B84)=0), 0, OFFSET(IF($H84=0, 0, $B84),MATCH(1,$I84:$I1081,0) - 1,0)),"D")/365))-1))</f>
        <v>0</v>
      </c>
    </row>
    <row r="85" customFormat="false" ht="13.8" hidden="false" customHeight="false" outlineLevel="0" collapsed="false">
      <c r="A85" s="30" t="n">
        <v>2156935.87</v>
      </c>
      <c r="B85" s="8" t="n">
        <v>44926</v>
      </c>
      <c r="H85" s="17" t="n">
        <f aca="false">IF(AND(DATE($O$3,$P$3,$Q$3)&lt;=$B85, $B85&lt;=DATE($O$4,$P$4,$Q$4)), IF(AND(H86=0, $A85 &gt; 0), 0, 1), IF(AND(H86&lt;&gt;0, $A85 &gt; 0), 1, 0))</f>
        <v>1</v>
      </c>
      <c r="I85" s="17" t="n">
        <f aca="false">IF(OR($H86&lt;&gt;0,$H85=0), 0, 1)</f>
        <v>0</v>
      </c>
      <c r="J85" s="17" t="n">
        <f aca="true">IF(IF(OR(IF($H84=0, 0, $B84)&lt;&gt;0,IF($H85=0, 0, $B85)=0), 0, OFFSET(IF($H85=0, 0, $B85),MATCH(1,$I85:$I1082,0) - 1,0))=0, 0, IF((DATEDIF(IF($H85=0, 0, $B85),IF(OR(IF($H84=0, 0, $B84)&lt;&gt;0,IF($H85=0, 0, $B85)=0), 0, OFFSET(IF($H85=0, 0, $B85),MATCH(1,$I85:$I1082,0) - 1,0)),"D") &gt;= 365), XIRR(OFFSET(IF($H85=0, 0, $A85),0,0, MATCH(1,$I85:$I1082,0), 1), OFFSET(IF($H85=0, 0, $B85),0,0, MATCH(1,$I85:$I1082,0), 1), 0.1), POWER((1+XIRR(OFFSET(IF($H85=0, 0, $A85),0,0, MATCH(1,$I85:$I1082,0), 1), OFFSET(IF($H85=0, 0, $B85),0,0, MATCH(1,$I85:$I1082,0), 1), 0.1)),(DATEDIF(IF($H85=0, 0, $B85),IF(OR(IF($H84=0, 0, $B84)&lt;&gt;0,IF($H85=0, 0, $B85)=0), 0, OFFSET(IF($H85=0, 0, $B85),MATCH(1,$I85:$I1082,0) - 1,0)),"D")/365))-1))</f>
        <v>0</v>
      </c>
    </row>
    <row r="86" customFormat="false" ht="13.8" hidden="false" customHeight="false" outlineLevel="0" collapsed="false">
      <c r="A86" s="30" t="n">
        <v>-9000</v>
      </c>
      <c r="B86" s="8" t="n">
        <v>44956</v>
      </c>
      <c r="H86" s="17" t="n">
        <f aca="false">IF(AND(DATE($O$3,$P$3,$Q$3)&lt;=$B86, $B86&lt;=DATE($O$4,$P$4,$Q$4)), IF(AND(H87=0, $A86 &gt; 0), 0, 1), IF(AND(H87&lt;&gt;0, $A86 &gt; 0), 1, 0))</f>
        <v>1</v>
      </c>
      <c r="I86" s="17" t="n">
        <f aca="false">IF(OR($H87&lt;&gt;0,$H86=0), 0, 1)</f>
        <v>0</v>
      </c>
      <c r="J86" s="17" t="n">
        <f aca="true">IF(IF(OR(IF($H85=0, 0, $B85)&lt;&gt;0,IF($H86=0, 0, $B86)=0), 0, OFFSET(IF($H86=0, 0, $B86),MATCH(1,$I86:$I1083,0) - 1,0))=0, 0, IF((DATEDIF(IF($H86=0, 0, $B86),IF(OR(IF($H85=0, 0, $B85)&lt;&gt;0,IF($H86=0, 0, $B86)=0), 0, OFFSET(IF($H86=0, 0, $B86),MATCH(1,$I86:$I1083,0) - 1,0)),"D") &gt;= 365), XIRR(OFFSET(IF($H86=0, 0, $A86),0,0, MATCH(1,$I86:$I1083,0), 1), OFFSET(IF($H86=0, 0, $B86),0,0, MATCH(1,$I86:$I1083,0), 1), 0.1), POWER((1+XIRR(OFFSET(IF($H86=0, 0, $A86),0,0, MATCH(1,$I86:$I1083,0), 1), OFFSET(IF($H86=0, 0, $B86),0,0, MATCH(1,$I86:$I1083,0), 1), 0.1)),(DATEDIF(IF($H86=0, 0, $B86),IF(OR(IF($H85=0, 0, $B85)&lt;&gt;0,IF($H86=0, 0, $B86)=0), 0, OFFSET(IF($H86=0, 0, $B86),MATCH(1,$I86:$I1083,0) - 1,0)),"D")/365))-1))</f>
        <v>0</v>
      </c>
    </row>
    <row r="87" customFormat="false" ht="13.8" hidden="false" customHeight="false" outlineLevel="0" collapsed="false">
      <c r="A87" s="30" t="n">
        <v>-9000</v>
      </c>
      <c r="B87" s="8" t="n">
        <v>44985</v>
      </c>
      <c r="H87" s="17" t="n">
        <f aca="false">IF(AND(DATE($O$3,$P$3,$Q$3)&lt;=$B87, $B87&lt;=DATE($O$4,$P$4,$Q$4)), IF(AND(H88=0, $A87 &gt; 0), 0, 1), IF(AND(H88&lt;&gt;0, $A87 &gt; 0), 1, 0))</f>
        <v>1</v>
      </c>
      <c r="I87" s="17" t="n">
        <f aca="false">IF(OR($H88&lt;&gt;0,$H87=0), 0, 1)</f>
        <v>0</v>
      </c>
      <c r="J87" s="17" t="n">
        <f aca="true">IF(IF(OR(IF($H86=0, 0, $B86)&lt;&gt;0,IF($H87=0, 0, $B87)=0), 0, OFFSET(IF($H87=0, 0, $B87),MATCH(1,$I87:$I1084,0) - 1,0))=0, 0, IF((DATEDIF(IF($H87=0, 0, $B87),IF(OR(IF($H86=0, 0, $B86)&lt;&gt;0,IF($H87=0, 0, $B87)=0), 0, OFFSET(IF($H87=0, 0, $B87),MATCH(1,$I87:$I1084,0) - 1,0)),"D") &gt;= 365), XIRR(OFFSET(IF($H87=0, 0, $A87),0,0, MATCH(1,$I87:$I1084,0), 1), OFFSET(IF($H87=0, 0, $B87),0,0, MATCH(1,$I87:$I1084,0), 1), 0.1), POWER((1+XIRR(OFFSET(IF($H87=0, 0, $A87),0,0, MATCH(1,$I87:$I1084,0), 1), OFFSET(IF($H87=0, 0, $B87),0,0, MATCH(1,$I87:$I1084,0), 1), 0.1)),(DATEDIF(IF($H87=0, 0, $B87),IF(OR(IF($H86=0, 0, $B86)&lt;&gt;0,IF($H87=0, 0, $B87)=0), 0, OFFSET(IF($H87=0, 0, $B87),MATCH(1,$I87:$I1084,0) - 1,0)),"D")/365))-1))</f>
        <v>0</v>
      </c>
    </row>
    <row r="88" customFormat="false" ht="13.8" hidden="false" customHeight="false" outlineLevel="0" collapsed="false">
      <c r="A88" s="30" t="n">
        <v>-21500</v>
      </c>
      <c r="B88" s="8" t="n">
        <v>44995</v>
      </c>
      <c r="H88" s="17" t="n">
        <f aca="false">IF(AND(DATE($O$3,$P$3,$Q$3)&lt;=$B88, $B88&lt;=DATE($O$4,$P$4,$Q$4)), IF(AND(H89=0, $A88 &gt; 0), 0, 1), IF(AND(H89&lt;&gt;0, $A88 &gt; 0), 1, 0))</f>
        <v>1</v>
      </c>
      <c r="I88" s="17" t="n">
        <f aca="false">IF(OR($H89&lt;&gt;0,$H88=0), 0, 1)</f>
        <v>0</v>
      </c>
      <c r="J88" s="17" t="n">
        <f aca="true">IF(IF(OR(IF($H87=0, 0, $B87)&lt;&gt;0,IF($H88=0, 0, $B88)=0), 0, OFFSET(IF($H88=0, 0, $B88),MATCH(1,$I88:$I1085,0) - 1,0))=0, 0, IF((DATEDIF(IF($H88=0, 0, $B88),IF(OR(IF($H87=0, 0, $B87)&lt;&gt;0,IF($H88=0, 0, $B88)=0), 0, OFFSET(IF($H88=0, 0, $B88),MATCH(1,$I88:$I1085,0) - 1,0)),"D") &gt;= 365), XIRR(OFFSET(IF($H88=0, 0, $A88),0,0, MATCH(1,$I88:$I1085,0), 1), OFFSET(IF($H88=0, 0, $B88),0,0, MATCH(1,$I88:$I1085,0), 1), 0.1), POWER((1+XIRR(OFFSET(IF($H88=0, 0, $A88),0,0, MATCH(1,$I88:$I1085,0), 1), OFFSET(IF($H88=0, 0, $B88),0,0, MATCH(1,$I88:$I1085,0), 1), 0.1)),(DATEDIF(IF($H88=0, 0, $B88),IF(OR(IF($H87=0, 0, $B87)&lt;&gt;0,IF($H88=0, 0, $B88)=0), 0, OFFSET(IF($H88=0, 0, $B88),MATCH(1,$I88:$I1085,0) - 1,0)),"D")/365))-1))</f>
        <v>0</v>
      </c>
    </row>
    <row r="89" customFormat="false" ht="13.8" hidden="false" customHeight="false" outlineLevel="0" collapsed="false">
      <c r="A89" s="30" t="n">
        <v>-9000</v>
      </c>
      <c r="B89" s="8" t="n">
        <v>45015</v>
      </c>
      <c r="H89" s="17" t="n">
        <f aca="false">IF(AND(DATE($O$3,$P$3,$Q$3)&lt;=$B89, $B89&lt;=DATE($O$4,$P$4,$Q$4)), IF(AND(H90=0, $A89 &gt; 0), 0, 1), IF(AND(H90&lt;&gt;0, $A89 &gt; 0), 1, 0))</f>
        <v>1</v>
      </c>
      <c r="I89" s="17" t="n">
        <f aca="false">IF(OR($H90&lt;&gt;0,$H89=0), 0, 1)</f>
        <v>0</v>
      </c>
      <c r="J89" s="17" t="n">
        <f aca="true">IF(IF(OR(IF($H88=0, 0, $B88)&lt;&gt;0,IF($H89=0, 0, $B89)=0), 0, OFFSET(IF($H89=0, 0, $B89),MATCH(1,$I89:$I1086,0) - 1,0))=0, 0, IF((DATEDIF(IF($H89=0, 0, $B89),IF(OR(IF($H88=0, 0, $B88)&lt;&gt;0,IF($H89=0, 0, $B89)=0), 0, OFFSET(IF($H89=0, 0, $B89),MATCH(1,$I89:$I1086,0) - 1,0)),"D") &gt;= 365), XIRR(OFFSET(IF($H89=0, 0, $A89),0,0, MATCH(1,$I89:$I1086,0), 1), OFFSET(IF($H89=0, 0, $B89),0,0, MATCH(1,$I89:$I1086,0), 1), 0.1), POWER((1+XIRR(OFFSET(IF($H89=0, 0, $A89),0,0, MATCH(1,$I89:$I1086,0), 1), OFFSET(IF($H89=0, 0, $B89),0,0, MATCH(1,$I89:$I1086,0), 1), 0.1)),(DATEDIF(IF($H89=0, 0, $B89),IF(OR(IF($H88=0, 0, $B88)&lt;&gt;0,IF($H89=0, 0, $B89)=0), 0, OFFSET(IF($H89=0, 0, $B89),MATCH(1,$I89:$I1086,0) - 1,0)),"D")/365))-1))</f>
        <v>0</v>
      </c>
    </row>
    <row r="90" customFormat="false" ht="13.8" hidden="false" customHeight="false" outlineLevel="0" collapsed="false">
      <c r="A90" s="30" t="n">
        <v>-2222477.77</v>
      </c>
      <c r="B90" s="8" t="n">
        <v>45016</v>
      </c>
      <c r="H90" s="17" t="n">
        <f aca="false">IF(AND(DATE($O$3,$P$3,$Q$3)&lt;=$B90, $B90&lt;=DATE($O$4,$P$4,$Q$4)), IF(AND(H91=0, $A90 &gt; 0), 0, 1), IF(AND(H91&lt;&gt;0, $A90 &gt; 0), 1, 0))</f>
        <v>1</v>
      </c>
      <c r="I90" s="17" t="n">
        <f aca="false">IF(OR($H91&lt;&gt;0,$H90=0), 0, 1)</f>
        <v>0</v>
      </c>
      <c r="J90" s="17" t="n">
        <f aca="true">IF(IF(OR(IF($H89=0, 0, $B89)&lt;&gt;0,IF($H90=0, 0, $B90)=0), 0, OFFSET(IF($H90=0, 0, $B90),MATCH(1,$I90:$I1087,0) - 1,0))=0, 0, IF((DATEDIF(IF($H90=0, 0, $B90),IF(OR(IF($H89=0, 0, $B89)&lt;&gt;0,IF($H90=0, 0, $B90)=0), 0, OFFSET(IF($H90=0, 0, $B90),MATCH(1,$I90:$I1087,0) - 1,0)),"D") &gt;= 365), XIRR(OFFSET(IF($H90=0, 0, $A90),0,0, MATCH(1,$I90:$I1087,0), 1), OFFSET(IF($H90=0, 0, $B90),0,0, MATCH(1,$I90:$I1087,0), 1), 0.1), POWER((1+XIRR(OFFSET(IF($H90=0, 0, $A90),0,0, MATCH(1,$I90:$I1087,0), 1), OFFSET(IF($H90=0, 0, $B90),0,0, MATCH(1,$I90:$I1087,0), 1), 0.1)),(DATEDIF(IF($H90=0, 0, $B90),IF(OR(IF($H89=0, 0, $B89)&lt;&gt;0,IF($H90=0, 0, $B90)=0), 0, OFFSET(IF($H90=0, 0, $B90),MATCH(1,$I90:$I1087,0) - 1,0)),"D")/365))-1))</f>
        <v>0</v>
      </c>
    </row>
    <row r="91" customFormat="false" ht="13.8" hidden="false" customHeight="false" outlineLevel="0" collapsed="false">
      <c r="A91" s="30" t="n">
        <v>2222477.77</v>
      </c>
      <c r="B91" s="8" t="n">
        <v>45016</v>
      </c>
      <c r="H91" s="17" t="n">
        <f aca="false">IF(AND(DATE($O$3,$P$3,$Q$3)&lt;=$B91, $B91&lt;=DATE($O$4,$P$4,$Q$4)), IF(AND(H92=0, $A91 &gt; 0), 0, 1), IF(AND(H92&lt;&gt;0, $A91 &gt; 0), 1, 0))</f>
        <v>1</v>
      </c>
      <c r="I91" s="17" t="n">
        <f aca="false">IF(OR($H92&lt;&gt;0,$H91=0), 0, 1)</f>
        <v>0</v>
      </c>
      <c r="J91" s="17" t="n">
        <f aca="true">IF(IF(OR(IF($H90=0, 0, $B90)&lt;&gt;0,IF($H91=0, 0, $B91)=0), 0, OFFSET(IF($H91=0, 0, $B91),MATCH(1,$I91:$I1088,0) - 1,0))=0, 0, IF((DATEDIF(IF($H91=0, 0, $B91),IF(OR(IF($H90=0, 0, $B90)&lt;&gt;0,IF($H91=0, 0, $B91)=0), 0, OFFSET(IF($H91=0, 0, $B91),MATCH(1,$I91:$I1088,0) - 1,0)),"D") &gt;= 365), XIRR(OFFSET(IF($H91=0, 0, $A91),0,0, MATCH(1,$I91:$I1088,0), 1), OFFSET(IF($H91=0, 0, $B91),0,0, MATCH(1,$I91:$I1088,0), 1), 0.1), POWER((1+XIRR(OFFSET(IF($H91=0, 0, $A91),0,0, MATCH(1,$I91:$I1088,0), 1), OFFSET(IF($H91=0, 0, $B91),0,0, MATCH(1,$I91:$I1088,0), 1), 0.1)),(DATEDIF(IF($H91=0, 0, $B91),IF(OR(IF($H90=0, 0, $B90)&lt;&gt;0,IF($H91=0, 0, $B91)=0), 0, OFFSET(IF($H91=0, 0, $B91),MATCH(1,$I91:$I1088,0) - 1,0)),"D")/365))-1))</f>
        <v>0</v>
      </c>
    </row>
    <row r="92" customFormat="false" ht="13.8" hidden="false" customHeight="false" outlineLevel="0" collapsed="false">
      <c r="A92" s="30" t="n">
        <v>-9000</v>
      </c>
      <c r="B92" s="8" t="n">
        <v>45046</v>
      </c>
      <c r="H92" s="17" t="n">
        <f aca="false">IF(AND(DATE($O$3,$P$3,$Q$3)&lt;=$B92, $B92&lt;=DATE($O$4,$P$4,$Q$4)), IF(AND(H93=0, $A92 &gt; 0), 0, 1), IF(AND(H93&lt;&gt;0, $A92 &gt; 0), 1, 0))</f>
        <v>1</v>
      </c>
      <c r="I92" s="17" t="n">
        <f aca="false">IF(OR($H93&lt;&gt;0,$H92=0), 0, 1)</f>
        <v>0</v>
      </c>
      <c r="J92" s="17" t="n">
        <f aca="true">IF(IF(OR(IF($H91=0, 0, $B91)&lt;&gt;0,IF($H92=0, 0, $B92)=0), 0, OFFSET(IF($H92=0, 0, $B92),MATCH(1,$I92:$I1089,0) - 1,0))=0, 0, IF((DATEDIF(IF($H92=0, 0, $B92),IF(OR(IF($H91=0, 0, $B91)&lt;&gt;0,IF($H92=0, 0, $B92)=0), 0, OFFSET(IF($H92=0, 0, $B92),MATCH(1,$I92:$I1089,0) - 1,0)),"D") &gt;= 365), XIRR(OFFSET(IF($H92=0, 0, $A92),0,0, MATCH(1,$I92:$I1089,0), 1), OFFSET(IF($H92=0, 0, $B92),0,0, MATCH(1,$I92:$I1089,0), 1), 0.1), POWER((1+XIRR(OFFSET(IF($H92=0, 0, $A92),0,0, MATCH(1,$I92:$I1089,0), 1), OFFSET(IF($H92=0, 0, $B92),0,0, MATCH(1,$I92:$I1089,0), 1), 0.1)),(DATEDIF(IF($H92=0, 0, $B92),IF(OR(IF($H91=0, 0, $B91)&lt;&gt;0,IF($H92=0, 0, $B92)=0), 0, OFFSET(IF($H92=0, 0, $B92),MATCH(1,$I92:$I1089,0) - 1,0)),"D")/365))-1))</f>
        <v>0</v>
      </c>
    </row>
    <row r="93" customFormat="false" ht="13.8" hidden="false" customHeight="false" outlineLevel="0" collapsed="false">
      <c r="A93" s="30" t="n">
        <v>-9000</v>
      </c>
      <c r="B93" s="8" t="n">
        <v>45076</v>
      </c>
      <c r="H93" s="17" t="n">
        <f aca="false">IF(AND(DATE($O$3,$P$3,$Q$3)&lt;=$B93, $B93&lt;=DATE($O$4,$P$4,$Q$4)), IF(AND(H94=0, $A93 &gt; 0), 0, 1), IF(AND(H94&lt;&gt;0, $A93 &gt; 0), 1, 0))</f>
        <v>1</v>
      </c>
      <c r="I93" s="17" t="n">
        <f aca="false">IF(OR($H94&lt;&gt;0,$H93=0), 0, 1)</f>
        <v>0</v>
      </c>
      <c r="J93" s="17" t="n">
        <f aca="true">IF(IF(OR(IF($H92=0, 0, $B92)&lt;&gt;0,IF($H93=0, 0, $B93)=0), 0, OFFSET(IF($H93=0, 0, $B93),MATCH(1,$I93:$I1090,0) - 1,0))=0, 0, IF((DATEDIF(IF($H93=0, 0, $B93),IF(OR(IF($H92=0, 0, $B92)&lt;&gt;0,IF($H93=0, 0, $B93)=0), 0, OFFSET(IF($H93=0, 0, $B93),MATCH(1,$I93:$I1090,0) - 1,0)),"D") &gt;= 365), XIRR(OFFSET(IF($H93=0, 0, $A93),0,0, MATCH(1,$I93:$I1090,0), 1), OFFSET(IF($H93=0, 0, $B93),0,0, MATCH(1,$I93:$I1090,0), 1), 0.1), POWER((1+XIRR(OFFSET(IF($H93=0, 0, $A93),0,0, MATCH(1,$I93:$I1090,0), 1), OFFSET(IF($H93=0, 0, $B93),0,0, MATCH(1,$I93:$I1090,0), 1), 0.1)),(DATEDIF(IF($H93=0, 0, $B93),IF(OR(IF($H92=0, 0, $B92)&lt;&gt;0,IF($H93=0, 0, $B93)=0), 0, OFFSET(IF($H93=0, 0, $B93),MATCH(1,$I93:$I1090,0) - 1,0)),"D")/365))-1))</f>
        <v>0</v>
      </c>
    </row>
    <row r="94" customFormat="false" ht="13.8" hidden="false" customHeight="false" outlineLevel="0" collapsed="false">
      <c r="A94" s="30" t="n">
        <v>-9000</v>
      </c>
      <c r="B94" s="8" t="n">
        <v>45107</v>
      </c>
      <c r="H94" s="17" t="n">
        <f aca="false">IF(AND(DATE($O$3,$P$3,$Q$3)&lt;=$B94, $B94&lt;=DATE($O$4,$P$4,$Q$4)), IF(AND(H95=0, $A94 &gt; 0), 0, 1), IF(AND(H95&lt;&gt;0, $A94 &gt; 0), 1, 0))</f>
        <v>1</v>
      </c>
      <c r="I94" s="17" t="n">
        <f aca="false">IF(OR($H95&lt;&gt;0,$H94=0), 0, 1)</f>
        <v>0</v>
      </c>
      <c r="J94" s="17" t="n">
        <f aca="true">IF(IF(OR(IF($H93=0, 0, $B93)&lt;&gt;0,IF($H94=0, 0, $B94)=0), 0, OFFSET(IF($H94=0, 0, $B94),MATCH(1,$I94:$I1091,0) - 1,0))=0, 0, IF((DATEDIF(IF($H94=0, 0, $B94),IF(OR(IF($H93=0, 0, $B93)&lt;&gt;0,IF($H94=0, 0, $B94)=0), 0, OFFSET(IF($H94=0, 0, $B94),MATCH(1,$I94:$I1091,0) - 1,0)),"D") &gt;= 365), XIRR(OFFSET(IF($H94=0, 0, $A94),0,0, MATCH(1,$I94:$I1091,0), 1), OFFSET(IF($H94=0, 0, $B94),0,0, MATCH(1,$I94:$I1091,0), 1), 0.1), POWER((1+XIRR(OFFSET(IF($H94=0, 0, $A94),0,0, MATCH(1,$I94:$I1091,0), 1), OFFSET(IF($H94=0, 0, $B94),0,0, MATCH(1,$I94:$I1091,0), 1), 0.1)),(DATEDIF(IF($H94=0, 0, $B94),IF(OR(IF($H93=0, 0, $B93)&lt;&gt;0,IF($H94=0, 0, $B94)=0), 0, OFFSET(IF($H94=0, 0, $B94),MATCH(1,$I94:$I1091,0) - 1,0)),"D")/365))-1))</f>
        <v>0</v>
      </c>
    </row>
    <row r="95" customFormat="false" ht="13.8" hidden="false" customHeight="false" outlineLevel="0" collapsed="false">
      <c r="A95" s="30" t="n">
        <v>-2275983.49</v>
      </c>
      <c r="B95" s="8" t="n">
        <v>45107</v>
      </c>
      <c r="H95" s="17" t="n">
        <f aca="false">IF(AND(DATE($O$3,$P$3,$Q$3)&lt;=$B95, $B95&lt;=DATE($O$4,$P$4,$Q$4)), IF(AND(H96=0, $A95 &gt; 0), 0, 1), IF(AND(H96&lt;&gt;0, $A95 &gt; 0), 1, 0))</f>
        <v>1</v>
      </c>
      <c r="I95" s="17" t="n">
        <f aca="false">IF(OR($H96&lt;&gt;0,$H95=0), 0, 1)</f>
        <v>0</v>
      </c>
      <c r="J95" s="17" t="n">
        <f aca="true">IF(IF(OR(IF($H94=0, 0, $B94)&lt;&gt;0,IF($H95=0, 0, $B95)=0), 0, OFFSET(IF($H95=0, 0, $B95),MATCH(1,$I95:$I1092,0) - 1,0))=0, 0, IF((DATEDIF(IF($H95=0, 0, $B95),IF(OR(IF($H94=0, 0, $B94)&lt;&gt;0,IF($H95=0, 0, $B95)=0), 0, OFFSET(IF($H95=0, 0, $B95),MATCH(1,$I95:$I1092,0) - 1,0)),"D") &gt;= 365), XIRR(OFFSET(IF($H95=0, 0, $A95),0,0, MATCH(1,$I95:$I1092,0), 1), OFFSET(IF($H95=0, 0, $B95),0,0, MATCH(1,$I95:$I1092,0), 1), 0.1), POWER((1+XIRR(OFFSET(IF($H95=0, 0, $A95),0,0, MATCH(1,$I95:$I1092,0), 1), OFFSET(IF($H95=0, 0, $B95),0,0, MATCH(1,$I95:$I1092,0), 1), 0.1)),(DATEDIF(IF($H95=0, 0, $B95),IF(OR(IF($H94=0, 0, $B94)&lt;&gt;0,IF($H95=0, 0, $B95)=0), 0, OFFSET(IF($H95=0, 0, $B95),MATCH(1,$I95:$I1092,0) - 1,0)),"D")/365))-1))</f>
        <v>0</v>
      </c>
    </row>
    <row r="96" customFormat="false" ht="13.8" hidden="false" customHeight="false" outlineLevel="0" collapsed="false">
      <c r="A96" s="30" t="n">
        <v>2275983.49</v>
      </c>
      <c r="B96" s="8" t="n">
        <v>45107</v>
      </c>
      <c r="H96" s="17" t="n">
        <f aca="false">IF(AND(DATE($O$3,$P$3,$Q$3)&lt;=$B96, $B96&lt;=DATE($O$4,$P$4,$Q$4)), IF(AND(H97=0, $A96 &gt; 0), 0, 1), IF(AND(H97&lt;&gt;0, $A96 &gt; 0), 1, 0))</f>
        <v>1</v>
      </c>
      <c r="I96" s="17" t="n">
        <f aca="false">IF(OR($H97&lt;&gt;0,$H96=0), 0, 1)</f>
        <v>0</v>
      </c>
      <c r="J96" s="17" t="n">
        <f aca="true">IF(IF(OR(IF($H95=0, 0, $B95)&lt;&gt;0,IF($H96=0, 0, $B96)=0), 0, OFFSET(IF($H96=0, 0, $B96),MATCH(1,$I96:$I1093,0) - 1,0))=0, 0, IF((DATEDIF(IF($H96=0, 0, $B96),IF(OR(IF($H95=0, 0, $B95)&lt;&gt;0,IF($H96=0, 0, $B96)=0), 0, OFFSET(IF($H96=0, 0, $B96),MATCH(1,$I96:$I1093,0) - 1,0)),"D") &gt;= 365), XIRR(OFFSET(IF($H96=0, 0, $A96),0,0, MATCH(1,$I96:$I1093,0), 1), OFFSET(IF($H96=0, 0, $B96),0,0, MATCH(1,$I96:$I1093,0), 1), 0.1), POWER((1+XIRR(OFFSET(IF($H96=0, 0, $A96),0,0, MATCH(1,$I96:$I1093,0), 1), OFFSET(IF($H96=0, 0, $B96),0,0, MATCH(1,$I96:$I1093,0), 1), 0.1)),(DATEDIF(IF($H96=0, 0, $B96),IF(OR(IF($H95=0, 0, $B95)&lt;&gt;0,IF($H96=0, 0, $B96)=0), 0, OFFSET(IF($H96=0, 0, $B96),MATCH(1,$I96:$I1093,0) - 1,0)),"D")/365))-1))</f>
        <v>0</v>
      </c>
    </row>
    <row r="97" customFormat="false" ht="13.8" hidden="false" customHeight="false" outlineLevel="0" collapsed="false">
      <c r="A97" s="30" t="n">
        <v>-30000</v>
      </c>
      <c r="B97" s="8" t="n">
        <v>45128</v>
      </c>
      <c r="H97" s="17" t="n">
        <f aca="false">IF(AND(DATE($O$3,$P$3,$Q$3)&lt;=$B97, $B97&lt;=DATE($O$4,$P$4,$Q$4)), IF(AND(H98=0, $A97 &gt; 0), 0, 1), IF(AND(H98&lt;&gt;0, $A97 &gt; 0), 1, 0))</f>
        <v>1</v>
      </c>
      <c r="I97" s="17" t="n">
        <f aca="false">IF(OR($H98&lt;&gt;0,$H97=0), 0, 1)</f>
        <v>0</v>
      </c>
      <c r="J97" s="17" t="n">
        <f aca="true">IF(IF(OR(IF($H96=0, 0, $B96)&lt;&gt;0,IF($H97=0, 0, $B97)=0), 0, OFFSET(IF($H97=0, 0, $B97),MATCH(1,$I97:$I1094,0) - 1,0))=0, 0, IF((DATEDIF(IF($H97=0, 0, $B97),IF(OR(IF($H96=0, 0, $B96)&lt;&gt;0,IF($H97=0, 0, $B97)=0), 0, OFFSET(IF($H97=0, 0, $B97),MATCH(1,$I97:$I1094,0) - 1,0)),"D") &gt;= 365), XIRR(OFFSET(IF($H97=0, 0, $A97),0,0, MATCH(1,$I97:$I1094,0), 1), OFFSET(IF($H97=0, 0, $B97),0,0, MATCH(1,$I97:$I1094,0), 1), 0.1), POWER((1+XIRR(OFFSET(IF($H97=0, 0, $A97),0,0, MATCH(1,$I97:$I1094,0), 1), OFFSET(IF($H97=0, 0, $B97),0,0, MATCH(1,$I97:$I1094,0), 1), 0.1)),(DATEDIF(IF($H97=0, 0, $B97),IF(OR(IF($H96=0, 0, $B96)&lt;&gt;0,IF($H97=0, 0, $B97)=0), 0, OFFSET(IF($H97=0, 0, $B97),MATCH(1,$I97:$I1094,0) - 1,0)),"D")/365))-1))</f>
        <v>0</v>
      </c>
    </row>
    <row r="98" customFormat="false" ht="13.8" hidden="false" customHeight="false" outlineLevel="0" collapsed="false">
      <c r="A98" s="30" t="n">
        <v>-9000</v>
      </c>
      <c r="B98" s="8" t="n">
        <v>45137</v>
      </c>
      <c r="H98" s="17" t="n">
        <f aca="false">IF(AND(DATE($O$3,$P$3,$Q$3)&lt;=$B98, $B98&lt;=DATE($O$4,$P$4,$Q$4)), IF(AND(H99=0, $A98 &gt; 0), 0, 1), IF(AND(H99&lt;&gt;0, $A98 &gt; 0), 1, 0))</f>
        <v>1</v>
      </c>
      <c r="I98" s="17" t="n">
        <f aca="false">IF(OR($H99&lt;&gt;0,$H98=0), 0, 1)</f>
        <v>0</v>
      </c>
      <c r="J98" s="17" t="n">
        <f aca="true">IF(IF(OR(IF($H97=0, 0, $B97)&lt;&gt;0,IF($H98=0, 0, $B98)=0), 0, OFFSET(IF($H98=0, 0, $B98),MATCH(1,$I98:$I1095,0) - 1,0))=0, 0, IF((DATEDIF(IF($H98=0, 0, $B98),IF(OR(IF($H97=0, 0, $B97)&lt;&gt;0,IF($H98=0, 0, $B98)=0), 0, OFFSET(IF($H98=0, 0, $B98),MATCH(1,$I98:$I1095,0) - 1,0)),"D") &gt;= 365), XIRR(OFFSET(IF($H98=0, 0, $A98),0,0, MATCH(1,$I98:$I1095,0), 1), OFFSET(IF($H98=0, 0, $B98),0,0, MATCH(1,$I98:$I1095,0), 1), 0.1), POWER((1+XIRR(OFFSET(IF($H98=0, 0, $A98),0,0, MATCH(1,$I98:$I1095,0), 1), OFFSET(IF($H98=0, 0, $B98),0,0, MATCH(1,$I98:$I1095,0), 1), 0.1)),(DATEDIF(IF($H98=0, 0, $B98),IF(OR(IF($H97=0, 0, $B97)&lt;&gt;0,IF($H98=0, 0, $B98)=0), 0, OFFSET(IF($H98=0, 0, $B98),MATCH(1,$I98:$I1095,0) - 1,0)),"D")/365))-1))</f>
        <v>0</v>
      </c>
    </row>
    <row r="99" customFormat="false" ht="13.8" hidden="false" customHeight="false" outlineLevel="0" collapsed="false">
      <c r="A99" s="30" t="n">
        <v>-9000</v>
      </c>
      <c r="B99" s="8" t="n">
        <v>45168</v>
      </c>
      <c r="H99" s="17" t="n">
        <f aca="false">IF(AND(DATE($O$3,$P$3,$Q$3)&lt;=$B99, $B99&lt;=DATE($O$4,$P$4,$Q$4)), IF(AND(H100=0, $A99 &gt; 0), 0, 1), IF(AND(H100&lt;&gt;0, $A99 &gt; 0), 1, 0))</f>
        <v>1</v>
      </c>
      <c r="I99" s="17" t="n">
        <f aca="false">IF(OR($H100&lt;&gt;0,$H99=0), 0, 1)</f>
        <v>1</v>
      </c>
      <c r="J99" s="17" t="n">
        <f aca="true">IF(IF(OR(IF($H98=0, 0, $B98)&lt;&gt;0,IF($H99=0, 0, $B99)=0), 0, OFFSET(IF($H99=0, 0, $B99),MATCH(1,$I99:$I1096,0) - 1,0))=0, 0, IF((DATEDIF(IF($H99=0, 0, $B99),IF(OR(IF($H98=0, 0, $B98)&lt;&gt;0,IF($H99=0, 0, $B99)=0), 0, OFFSET(IF($H99=0, 0, $B99),MATCH(1,$I99:$I1096,0) - 1,0)),"D") &gt;= 365), XIRR(OFFSET(IF($H99=0, 0, $A99),0,0, MATCH(1,$I99:$I1096,0), 1), OFFSET(IF($H99=0, 0, $B99),0,0, MATCH(1,$I99:$I1096,0), 1), 0.1), POWER((1+XIRR(OFFSET(IF($H99=0, 0, $A99),0,0, MATCH(1,$I99:$I1096,0), 1), OFFSET(IF($H99=0, 0, $B99),0,0, MATCH(1,$I99:$I1096,0), 1), 0.1)),(DATEDIF(IF($H99=0, 0, $B99),IF(OR(IF($H98=0, 0, $B98)&lt;&gt;0,IF($H99=0, 0, $B99)=0), 0, OFFSET(IF($H99=0, 0, $B99),MATCH(1,$I99:$I1096,0) - 1,0)),"D")/365))-1))</f>
        <v>0</v>
      </c>
    </row>
    <row r="100" customFormat="false" ht="13.8" hidden="false" customHeight="false" outlineLevel="0" collapsed="false">
      <c r="A100" s="30" t="n">
        <v>-8500</v>
      </c>
      <c r="B100" s="8" t="n">
        <v>45199</v>
      </c>
      <c r="H100" s="17" t="n">
        <f aca="false">IF(AND(DATE($O$3,$P$3,$Q$3)&lt;=$B100, $B100&lt;=DATE($O$4,$P$4,$Q$4)), IF(AND(H101=0, $A100 &gt; 0), 0, 1), IF(AND(H101&lt;&gt;0, $A100 &gt; 0), 1, 0))</f>
        <v>0</v>
      </c>
      <c r="I100" s="17" t="n">
        <f aca="false">IF(OR($H101&lt;&gt;0,$H100=0), 0, 1)</f>
        <v>0</v>
      </c>
      <c r="J100" s="17" t="n">
        <f aca="true">IF(IF(OR(IF($H99=0, 0, $B99)&lt;&gt;0,IF($H100=0, 0, $B100)=0), 0, OFFSET(IF($H100=0, 0, $B100),MATCH(1,$I100:$I1097,0) - 1,0))=0, 0, IF((DATEDIF(IF($H100=0, 0, $B100),IF(OR(IF($H99=0, 0, $B99)&lt;&gt;0,IF($H100=0, 0, $B100)=0), 0, OFFSET(IF($H100=0, 0, $B100),MATCH(1,$I100:$I1097,0) - 1,0)),"D") &gt;= 365), XIRR(OFFSET(IF($H100=0, 0, $A100),0,0, MATCH(1,$I100:$I1097,0), 1), OFFSET(IF($H100=0, 0, $B100),0,0, MATCH(1,$I100:$I1097,0), 1), 0.1), POWER((1+XIRR(OFFSET(IF($H100=0, 0, $A100),0,0, MATCH(1,$I100:$I1097,0), 1), OFFSET(IF($H100=0, 0, $B100),0,0, MATCH(1,$I100:$I1097,0), 1), 0.1)),(DATEDIF(IF($H100=0, 0, $B100),IF(OR(IF($H99=0, 0, $B99)&lt;&gt;0,IF($H100=0, 0, $B100)=0), 0, OFFSET(IF($H100=0, 0, $B100),MATCH(1,$I100:$I1097,0) - 1,0)),"D")/365))-1))</f>
        <v>0</v>
      </c>
    </row>
    <row r="101" customFormat="false" ht="13.8" hidden="false" customHeight="false" outlineLevel="0" collapsed="false">
      <c r="A101" s="30" t="n">
        <v>-2145848.26</v>
      </c>
      <c r="B101" s="8" t="n">
        <v>45199</v>
      </c>
      <c r="H101" s="17" t="n">
        <f aca="false">IF(AND(DATE($O$3,$P$3,$Q$3)&lt;=$B101, $B101&lt;=DATE($O$4,$P$4,$Q$4)), IF(AND(H102=0, $A101 &gt; 0), 0, 1), IF(AND(H102&lt;&gt;0, $A101 &gt; 0), 1, 0))</f>
        <v>0</v>
      </c>
      <c r="I101" s="17" t="n">
        <f aca="false">IF(OR($H102&lt;&gt;0,$H101=0), 0, 1)</f>
        <v>0</v>
      </c>
      <c r="J101" s="17" t="n">
        <f aca="true">IF(IF(OR(IF($H100=0, 0, $B100)&lt;&gt;0,IF($H101=0, 0, $B101)=0), 0, OFFSET(IF($H101=0, 0, $B101),MATCH(1,$I101:$I1098,0) - 1,0))=0, 0, IF((DATEDIF(IF($H101=0, 0, $B101),IF(OR(IF($H100=0, 0, $B100)&lt;&gt;0,IF($H101=0, 0, $B101)=0), 0, OFFSET(IF($H101=0, 0, $B101),MATCH(1,$I101:$I1098,0) - 1,0)),"D") &gt;= 365), XIRR(OFFSET(IF($H101=0, 0, $A101),0,0, MATCH(1,$I101:$I1098,0), 1), OFFSET(IF($H101=0, 0, $B101),0,0, MATCH(1,$I101:$I1098,0), 1), 0.1), POWER((1+XIRR(OFFSET(IF($H101=0, 0, $A101),0,0, MATCH(1,$I101:$I1098,0), 1), OFFSET(IF($H101=0, 0, $B101),0,0, MATCH(1,$I101:$I1098,0), 1), 0.1)),(DATEDIF(IF($H101=0, 0, $B101),IF(OR(IF($H100=0, 0, $B100)&lt;&gt;0,IF($H101=0, 0, $B101)=0), 0, OFFSET(IF($H101=0, 0, $B101),MATCH(1,$I101:$I1098,0) - 1,0)),"D")/365))-1))</f>
        <v>0</v>
      </c>
    </row>
    <row r="102" customFormat="false" ht="13.8" hidden="false" customHeight="false" outlineLevel="0" collapsed="false">
      <c r="A102" s="30" t="n">
        <v>2145848.26</v>
      </c>
      <c r="B102" s="8" t="n">
        <v>45199</v>
      </c>
      <c r="H102" s="17" t="n">
        <f aca="false">IF(AND(DATE($O$3,$P$3,$Q$3)&lt;=$B102, $B102&lt;=DATE($O$4,$P$4,$Q$4)), IF(AND(H103=0, $A102 &gt; 0), 0, 1), IF(AND(H103&lt;&gt;0, $A102 &gt; 0), 1, 0))</f>
        <v>0</v>
      </c>
      <c r="I102" s="17" t="n">
        <f aca="false">IF(OR($H103&lt;&gt;0,$H102=0), 0, 1)</f>
        <v>0</v>
      </c>
      <c r="J102" s="17" t="n">
        <f aca="true">IF(IF(OR(IF($H101=0, 0, $B101)&lt;&gt;0,IF($H102=0, 0, $B102)=0), 0, OFFSET(IF($H102=0, 0, $B102),MATCH(1,$I102:$I1099,0) - 1,0))=0, 0, IF((DATEDIF(IF($H102=0, 0, $B102),IF(OR(IF($H101=0, 0, $B101)&lt;&gt;0,IF($H102=0, 0, $B102)=0), 0, OFFSET(IF($H102=0, 0, $B102),MATCH(1,$I102:$I1099,0) - 1,0)),"D") &gt;= 365), XIRR(OFFSET(IF($H102=0, 0, $A102),0,0, MATCH(1,$I102:$I1099,0), 1), OFFSET(IF($H102=0, 0, $B102),0,0, MATCH(1,$I102:$I1099,0), 1), 0.1), POWER((1+XIRR(OFFSET(IF($H102=0, 0, $A102),0,0, MATCH(1,$I102:$I1099,0), 1), OFFSET(IF($H102=0, 0, $B102),0,0, MATCH(1,$I102:$I1099,0), 1), 0.1)),(DATEDIF(IF($H102=0, 0, $B102),IF(OR(IF($H101=0, 0, $B101)&lt;&gt;0,IF($H102=0, 0, $B102)=0), 0, OFFSET(IF($H102=0, 0, $B102),MATCH(1,$I102:$I1099,0) - 1,0)),"D")/365))-1))</f>
        <v>0</v>
      </c>
    </row>
    <row r="103" customFormat="false" ht="13.8" hidden="false" customHeight="false" outlineLevel="0" collapsed="false">
      <c r="A103" s="30" t="n">
        <v>-8500</v>
      </c>
      <c r="B103" s="8" t="n">
        <v>45229</v>
      </c>
      <c r="H103" s="17" t="n">
        <f aca="false">IF(AND(DATE($O$3,$P$3,$Q$3)&lt;=$B103, $B103&lt;=DATE($O$4,$P$4,$Q$4)), IF(AND(H104=0, $A103 &gt; 0), 0, 1), IF(AND(H104&lt;&gt;0, $A103 &gt; 0), 1, 0))</f>
        <v>0</v>
      </c>
      <c r="I103" s="17" t="n">
        <f aca="false">IF(OR($H104&lt;&gt;0,$H103=0), 0, 1)</f>
        <v>0</v>
      </c>
      <c r="J103" s="17" t="n">
        <f aca="true">IF(IF(OR(IF($H102=0, 0, $B102)&lt;&gt;0,IF($H103=0, 0, $B103)=0), 0, OFFSET(IF($H103=0, 0, $B103),MATCH(1,$I103:$I1100,0) - 1,0))=0, 0, IF((DATEDIF(IF($H103=0, 0, $B103),IF(OR(IF($H102=0, 0, $B102)&lt;&gt;0,IF($H103=0, 0, $B103)=0), 0, OFFSET(IF($H103=0, 0, $B103),MATCH(1,$I103:$I1100,0) - 1,0)),"D") &gt;= 365), XIRR(OFFSET(IF($H103=0, 0, $A103),0,0, MATCH(1,$I103:$I1100,0), 1), OFFSET(IF($H103=0, 0, $B103),0,0, MATCH(1,$I103:$I1100,0), 1), 0.1), POWER((1+XIRR(OFFSET(IF($H103=0, 0, $A103),0,0, MATCH(1,$I103:$I1100,0), 1), OFFSET(IF($H103=0, 0, $B103),0,0, MATCH(1,$I103:$I1100,0), 1), 0.1)),(DATEDIF(IF($H103=0, 0, $B103),IF(OR(IF($H102=0, 0, $B102)&lt;&gt;0,IF($H103=0, 0, $B103)=0), 0, OFFSET(IF($H103=0, 0, $B103),MATCH(1,$I103:$I1100,0) - 1,0)),"D")/365))-1))</f>
        <v>0</v>
      </c>
    </row>
    <row r="104" customFormat="false" ht="13.8" hidden="false" customHeight="false" outlineLevel="0" collapsed="false">
      <c r="A104" s="30" t="n">
        <v>-8500</v>
      </c>
      <c r="B104" s="8" t="n">
        <v>45260</v>
      </c>
      <c r="H104" s="17" t="n">
        <f aca="false">IF(AND(DATE($O$3,$P$3,$Q$3)&lt;=$B104, $B104&lt;=DATE($O$4,$P$4,$Q$4)), IF(AND(H105=0, $A104 &gt; 0), 0, 1), IF(AND(H105&lt;&gt;0, $A104 &gt; 0), 1, 0))</f>
        <v>0</v>
      </c>
      <c r="I104" s="17" t="n">
        <f aca="false">IF(OR($H105&lt;&gt;0,$H104=0), 0, 1)</f>
        <v>0</v>
      </c>
      <c r="J104" s="17" t="n">
        <f aca="true">IF(IF(OR(IF($H103=0, 0, $B103)&lt;&gt;0,IF($H104=0, 0, $B104)=0), 0, OFFSET(IF($H104=0, 0, $B104),MATCH(1,$I104:$I1101,0) - 1,0))=0, 0, IF((DATEDIF(IF($H104=0, 0, $B104),IF(OR(IF($H103=0, 0, $B103)&lt;&gt;0,IF($H104=0, 0, $B104)=0), 0, OFFSET(IF($H104=0, 0, $B104),MATCH(1,$I104:$I1101,0) - 1,0)),"D") &gt;= 365), XIRR(OFFSET(IF($H104=0, 0, $A104),0,0, MATCH(1,$I104:$I1101,0), 1), OFFSET(IF($H104=0, 0, $B104),0,0, MATCH(1,$I104:$I1101,0), 1), 0.1), POWER((1+XIRR(OFFSET(IF($H104=0, 0, $A104),0,0, MATCH(1,$I104:$I1101,0), 1), OFFSET(IF($H104=0, 0, $B104),0,0, MATCH(1,$I104:$I1101,0), 1), 0.1)),(DATEDIF(IF($H104=0, 0, $B104),IF(OR(IF($H103=0, 0, $B103)&lt;&gt;0,IF($H104=0, 0, $B104)=0), 0, OFFSET(IF($H104=0, 0, $B104),MATCH(1,$I104:$I1101,0) - 1,0)),"D")/365))-1))</f>
        <v>0</v>
      </c>
    </row>
    <row r="105" customFormat="false" ht="13.8" hidden="false" customHeight="false" outlineLevel="0" collapsed="false">
      <c r="A105" s="30" t="n">
        <v>-8500</v>
      </c>
      <c r="B105" s="8" t="n">
        <v>45290</v>
      </c>
      <c r="H105" s="17" t="n">
        <f aca="false">IF(AND(DATE($O$3,$P$3,$Q$3)&lt;=$B105, $B105&lt;=DATE($O$4,$P$4,$Q$4)), IF(AND(H106=0, $A105 &gt; 0), 0, 1), IF(AND(H106&lt;&gt;0, $A105 &gt; 0), 1, 0))</f>
        <v>0</v>
      </c>
      <c r="I105" s="17" t="n">
        <f aca="false">IF(OR($H106&lt;&gt;0,$H105=0), 0, 1)</f>
        <v>0</v>
      </c>
      <c r="J105" s="17" t="n">
        <f aca="true">IF(IF(OR(IF($H104=0, 0, $B104)&lt;&gt;0,IF($H105=0, 0, $B105)=0), 0, OFFSET(IF($H105=0, 0, $B105),MATCH(1,$I105:$I1102,0) - 1,0))=0, 0, IF((DATEDIF(IF($H105=0, 0, $B105),IF(OR(IF($H104=0, 0, $B104)&lt;&gt;0,IF($H105=0, 0, $B105)=0), 0, OFFSET(IF($H105=0, 0, $B105),MATCH(1,$I105:$I1102,0) - 1,0)),"D") &gt;= 365), XIRR(OFFSET(IF($H105=0, 0, $A105),0,0, MATCH(1,$I105:$I1102,0), 1), OFFSET(IF($H105=0, 0, $B105),0,0, MATCH(1,$I105:$I1102,0), 1), 0.1), POWER((1+XIRR(OFFSET(IF($H105=0, 0, $A105),0,0, MATCH(1,$I105:$I1102,0), 1), OFFSET(IF($H105=0, 0, $B105),0,0, MATCH(1,$I105:$I1102,0), 1), 0.1)),(DATEDIF(IF($H105=0, 0, $B105),IF(OR(IF($H104=0, 0, $B104)&lt;&gt;0,IF($H105=0, 0, $B105)=0), 0, OFFSET(IF($H105=0, 0, $B105),MATCH(1,$I105:$I1102,0) - 1,0)),"D")/365))-1))</f>
        <v>0</v>
      </c>
    </row>
    <row r="106" customFormat="false" ht="13.8" hidden="false" customHeight="false" outlineLevel="0" collapsed="false">
      <c r="A106" s="30" t="n">
        <v>-2356874.45</v>
      </c>
      <c r="B106" s="8" t="n">
        <v>45291</v>
      </c>
      <c r="H106" s="17" t="n">
        <f aca="false">IF(AND(DATE($O$3,$P$3,$Q$3)&lt;=$B106, $B106&lt;=DATE($O$4,$P$4,$Q$4)), IF(AND(H107=0, $A106 &gt; 0), 0, 1), IF(AND(H107&lt;&gt;0, $A106 &gt; 0), 1, 0))</f>
        <v>0</v>
      </c>
      <c r="I106" s="17" t="n">
        <f aca="false">IF(OR($H107&lt;&gt;0,$H106=0), 0, 1)</f>
        <v>0</v>
      </c>
      <c r="J106" s="17" t="n">
        <f aca="true">IF(IF(OR(IF($H105=0, 0, $B105)&lt;&gt;0,IF($H106=0, 0, $B106)=0), 0, OFFSET(IF($H106=0, 0, $B106),MATCH(1,$I106:$I1103,0) - 1,0))=0, 0, IF((DATEDIF(IF($H106=0, 0, $B106),IF(OR(IF($H105=0, 0, $B105)&lt;&gt;0,IF($H106=0, 0, $B106)=0), 0, OFFSET(IF($H106=0, 0, $B106),MATCH(1,$I106:$I1103,0) - 1,0)),"D") &gt;= 365), XIRR(OFFSET(IF($H106=0, 0, $A106),0,0, MATCH(1,$I106:$I1103,0), 1), OFFSET(IF($H106=0, 0, $B106),0,0, MATCH(1,$I106:$I1103,0), 1), 0.1), POWER((1+XIRR(OFFSET(IF($H106=0, 0, $A106),0,0, MATCH(1,$I106:$I1103,0), 1), OFFSET(IF($H106=0, 0, $B106),0,0, MATCH(1,$I106:$I1103,0), 1), 0.1)),(DATEDIF(IF($H106=0, 0, $B106),IF(OR(IF($H105=0, 0, $B105)&lt;&gt;0,IF($H106=0, 0, $B106)=0), 0, OFFSET(IF($H106=0, 0, $B106),MATCH(1,$I106:$I1103,0) - 1,0)),"D")/365))-1))</f>
        <v>0</v>
      </c>
    </row>
    <row r="107" customFormat="false" ht="13.8" hidden="false" customHeight="false" outlineLevel="0" collapsed="false">
      <c r="A107" s="30" t="n">
        <v>2356874.45</v>
      </c>
      <c r="B107" s="8" t="n">
        <v>45291</v>
      </c>
      <c r="H107" s="17" t="n">
        <f aca="false">IF(AND(DATE($O$3,$P$3,$Q$3)&lt;=$B107, $B107&lt;=DATE($O$4,$P$4,$Q$4)), IF(AND(H108=0, $A107 &gt; 0), 0, 1), IF(AND(H108&lt;&gt;0, $A107 &gt; 0), 1, 0))</f>
        <v>0</v>
      </c>
      <c r="I107" s="17" t="n">
        <f aca="false">IF(OR($H108&lt;&gt;0,$H107=0), 0, 1)</f>
        <v>0</v>
      </c>
      <c r="J107" s="17" t="n">
        <f aca="true">IF(IF(OR(IF($H106=0, 0, $B106)&lt;&gt;0,IF($H107=0, 0, $B107)=0), 0, OFFSET(IF($H107=0, 0, $B107),MATCH(1,$I107:$I1104,0) - 1,0))=0, 0, IF((DATEDIF(IF($H107=0, 0, $B107),IF(OR(IF($H106=0, 0, $B106)&lt;&gt;0,IF($H107=0, 0, $B107)=0), 0, OFFSET(IF($H107=0, 0, $B107),MATCH(1,$I107:$I1104,0) - 1,0)),"D") &gt;= 365), XIRR(OFFSET(IF($H107=0, 0, $A107),0,0, MATCH(1,$I107:$I1104,0), 1), OFFSET(IF($H107=0, 0, $B107),0,0, MATCH(1,$I107:$I1104,0), 1), 0.1), POWER((1+XIRR(OFFSET(IF($H107=0, 0, $A107),0,0, MATCH(1,$I107:$I1104,0), 1), OFFSET(IF($H107=0, 0, $B107),0,0, MATCH(1,$I107:$I1104,0), 1), 0.1)),(DATEDIF(IF($H107=0, 0, $B107),IF(OR(IF($H106=0, 0, $B106)&lt;&gt;0,IF($H107=0, 0, $B107)=0), 0, OFFSET(IF($H107=0, 0, $B107),MATCH(1,$I107:$I1104,0) - 1,0)),"D")/365))-1))</f>
        <v>0</v>
      </c>
    </row>
    <row r="108" customFormat="false" ht="13.8" hidden="false" customHeight="false" outlineLevel="0" collapsed="false">
      <c r="A108" s="30" t="n">
        <v>-8500</v>
      </c>
      <c r="B108" s="8" t="n">
        <v>45321</v>
      </c>
      <c r="H108" s="17" t="n">
        <f aca="false">IF(AND(DATE($O$3,$P$3,$Q$3)&lt;=$B108, $B108&lt;=DATE($O$4,$P$4,$Q$4)), IF(AND(H109=0, $A108 &gt; 0), 0, 1), IF(AND(H109&lt;&gt;0, $A108 &gt; 0), 1, 0))</f>
        <v>0</v>
      </c>
      <c r="I108" s="17" t="n">
        <f aca="false">IF(OR($H109&lt;&gt;0,$H108=0), 0, 1)</f>
        <v>0</v>
      </c>
      <c r="J108" s="17" t="n">
        <f aca="true">IF(IF(OR(IF($H107=0, 0, $B107)&lt;&gt;0,IF($H108=0, 0, $B108)=0), 0, OFFSET(IF($H108=0, 0, $B108),MATCH(1,$I108:$I1105,0) - 1,0))=0, 0, IF((DATEDIF(IF($H108=0, 0, $B108),IF(OR(IF($H107=0, 0, $B107)&lt;&gt;0,IF($H108=0, 0, $B108)=0), 0, OFFSET(IF($H108=0, 0, $B108),MATCH(1,$I108:$I1105,0) - 1,0)),"D") &gt;= 365), XIRR(OFFSET(IF($H108=0, 0, $A108),0,0, MATCH(1,$I108:$I1105,0), 1), OFFSET(IF($H108=0, 0, $B108),0,0, MATCH(1,$I108:$I1105,0), 1), 0.1), POWER((1+XIRR(OFFSET(IF($H108=0, 0, $A108),0,0, MATCH(1,$I108:$I1105,0), 1), OFFSET(IF($H108=0, 0, $B108),0,0, MATCH(1,$I108:$I1105,0), 1), 0.1)),(DATEDIF(IF($H108=0, 0, $B108),IF(OR(IF($H107=0, 0, $B107)&lt;&gt;0,IF($H108=0, 0, $B108)=0), 0, OFFSET(IF($H108=0, 0, $B108),MATCH(1,$I108:$I1105,0) - 1,0)),"D")/365))-1))</f>
        <v>0</v>
      </c>
    </row>
    <row r="109" customFormat="false" ht="13.8" hidden="false" customHeight="false" outlineLevel="0" collapsed="false">
      <c r="A109" s="30" t="n">
        <v>-34000</v>
      </c>
      <c r="B109" s="8" t="n">
        <v>45337</v>
      </c>
      <c r="H109" s="17" t="n">
        <f aca="false">IF(AND(DATE($O$3,$P$3,$Q$3)&lt;=$B109, $B109&lt;=DATE($O$4,$P$4,$Q$4)), IF(AND(H110=0, $A109 &gt; 0), 0, 1), IF(AND(H110&lt;&gt;0, $A109 &gt; 0), 1, 0))</f>
        <v>0</v>
      </c>
      <c r="I109" s="17" t="n">
        <f aca="false">IF(OR($H110&lt;&gt;0,$H109=0), 0, 1)</f>
        <v>0</v>
      </c>
      <c r="J109" s="17" t="n">
        <f aca="true">IF(IF(OR(IF($H108=0, 0, $B108)&lt;&gt;0,IF($H109=0, 0, $B109)=0), 0, OFFSET(IF($H109=0, 0, $B109),MATCH(1,$I109:$I1106,0) - 1,0))=0, 0, IF((DATEDIF(IF($H109=0, 0, $B109),IF(OR(IF($H108=0, 0, $B108)&lt;&gt;0,IF($H109=0, 0, $B109)=0), 0, OFFSET(IF($H109=0, 0, $B109),MATCH(1,$I109:$I1106,0) - 1,0)),"D") &gt;= 365), XIRR(OFFSET(IF($H109=0, 0, $A109),0,0, MATCH(1,$I109:$I1106,0), 1), OFFSET(IF($H109=0, 0, $B109),0,0, MATCH(1,$I109:$I1106,0), 1), 0.1), POWER((1+XIRR(OFFSET(IF($H109=0, 0, $A109),0,0, MATCH(1,$I109:$I1106,0), 1), OFFSET(IF($H109=0, 0, $B109),0,0, MATCH(1,$I109:$I1106,0), 1), 0.1)),(DATEDIF(IF($H109=0, 0, $B109),IF(OR(IF($H108=0, 0, $B108)&lt;&gt;0,IF($H109=0, 0, $B109)=0), 0, OFFSET(IF($H109=0, 0, $B109),MATCH(1,$I109:$I1106,0) - 1,0)),"D")/365))-1))</f>
        <v>0</v>
      </c>
    </row>
    <row r="110" customFormat="false" ht="13.8" hidden="false" customHeight="false" outlineLevel="0" collapsed="false">
      <c r="A110" s="30" t="n">
        <v>-8500</v>
      </c>
      <c r="B110" s="8" t="n">
        <v>45350</v>
      </c>
      <c r="H110" s="17" t="n">
        <f aca="false">IF(AND(DATE($O$3,$P$3,$Q$3)&lt;=$B110, $B110&lt;=DATE($O$4,$P$4,$Q$4)), IF(AND(H111=0, $A110 &gt; 0), 0, 1), IF(AND(H111&lt;&gt;0, $A110 &gt; 0), 1, 0))</f>
        <v>0</v>
      </c>
      <c r="I110" s="17" t="n">
        <f aca="false">IF(OR($H111&lt;&gt;0,$H110=0), 0, 1)</f>
        <v>0</v>
      </c>
      <c r="J110" s="17" t="n">
        <f aca="true">IF(IF(OR(IF($H109=0, 0, $B109)&lt;&gt;0,IF($H110=0, 0, $B110)=0), 0, OFFSET(IF($H110=0, 0, $B110),MATCH(1,$I110:$I1107,0) - 1,0))=0, 0, IF((DATEDIF(IF($H110=0, 0, $B110),IF(OR(IF($H109=0, 0, $B109)&lt;&gt;0,IF($H110=0, 0, $B110)=0), 0, OFFSET(IF($H110=0, 0, $B110),MATCH(1,$I110:$I1107,0) - 1,0)),"D") &gt;= 365), XIRR(OFFSET(IF($H110=0, 0, $A110),0,0, MATCH(1,$I110:$I1107,0), 1), OFFSET(IF($H110=0, 0, $B110),0,0, MATCH(1,$I110:$I1107,0), 1), 0.1), POWER((1+XIRR(OFFSET(IF($H110=0, 0, $A110),0,0, MATCH(1,$I110:$I1107,0), 1), OFFSET(IF($H110=0, 0, $B110),0,0, MATCH(1,$I110:$I1107,0), 1), 0.1)),(DATEDIF(IF($H110=0, 0, $B110),IF(OR(IF($H109=0, 0, $B109)&lt;&gt;0,IF($H110=0, 0, $B110)=0), 0, OFFSET(IF($H110=0, 0, $B110),MATCH(1,$I110:$I1107,0) - 1,0)),"D")/365))-1))</f>
        <v>0</v>
      </c>
    </row>
    <row r="111" customFormat="false" ht="13.8" hidden="false" customHeight="false" outlineLevel="0" collapsed="false">
      <c r="A111" s="30" t="n">
        <v>-80000</v>
      </c>
      <c r="B111" s="8" t="n">
        <v>45376</v>
      </c>
      <c r="H111" s="17" t="n">
        <f aca="false">IF(AND(DATE($O$3,$P$3,$Q$3)&lt;=$B111, $B111&lt;=DATE($O$4,$P$4,$Q$4)), IF(AND(H112=0, $A111 &gt; 0), 0, 1), IF(AND(H112&lt;&gt;0, $A111 &gt; 0), 1, 0))</f>
        <v>0</v>
      </c>
      <c r="I111" s="17" t="n">
        <f aca="false">IF(OR($H112&lt;&gt;0,$H111=0), 0, 1)</f>
        <v>0</v>
      </c>
      <c r="J111" s="17" t="n">
        <f aca="true">IF(IF(OR(IF($H110=0, 0, $B110)&lt;&gt;0,IF($H111=0, 0, $B111)=0), 0, OFFSET(IF($H111=0, 0, $B111),MATCH(1,$I111:$I1108,0) - 1,0))=0, 0, IF((DATEDIF(IF($H111=0, 0, $B111),IF(OR(IF($H110=0, 0, $B110)&lt;&gt;0,IF($H111=0, 0, $B111)=0), 0, OFFSET(IF($H111=0, 0, $B111),MATCH(1,$I111:$I1108,0) - 1,0)),"D") &gt;= 365), XIRR(OFFSET(IF($H111=0, 0, $A111),0,0, MATCH(1,$I111:$I1108,0), 1), OFFSET(IF($H111=0, 0, $B111),0,0, MATCH(1,$I111:$I1108,0), 1), 0.1), POWER((1+XIRR(OFFSET(IF($H111=0, 0, $A111),0,0, MATCH(1,$I111:$I1108,0), 1), OFFSET(IF($H111=0, 0, $B111),0,0, MATCH(1,$I111:$I1108,0), 1), 0.1)),(DATEDIF(IF($H111=0, 0, $B111),IF(OR(IF($H110=0, 0, $B110)&lt;&gt;0,IF($H111=0, 0, $B111)=0), 0, OFFSET(IF($H111=0, 0, $B111),MATCH(1,$I111:$I1108,0) - 1,0)),"D")/365))-1))</f>
        <v>0</v>
      </c>
    </row>
    <row r="112" customFormat="false" ht="13.8" hidden="false" customHeight="false" outlineLevel="0" collapsed="false">
      <c r="A112" s="30" t="n">
        <v>-8500</v>
      </c>
      <c r="B112" s="8" t="n">
        <v>45381</v>
      </c>
      <c r="H112" s="17" t="n">
        <f aca="false">IF(AND(DATE($O$3,$P$3,$Q$3)&lt;=$B112, $B112&lt;=DATE($O$4,$P$4,$Q$4)), IF(AND(H113=0, $A112 &gt; 0), 0, 1), IF(AND(H113&lt;&gt;0, $A112 &gt; 0), 1, 0))</f>
        <v>0</v>
      </c>
      <c r="I112" s="17" t="n">
        <f aca="false">IF(OR($H113&lt;&gt;0,$H112=0), 0, 1)</f>
        <v>0</v>
      </c>
      <c r="J112" s="17" t="n">
        <f aca="true">IF(IF(OR(IF($H111=0, 0, $B111)&lt;&gt;0,IF($H112=0, 0, $B112)=0), 0, OFFSET(IF($H112=0, 0, $B112),MATCH(1,$I112:$I1109,0) - 1,0))=0, 0, IF((DATEDIF(IF($H112=0, 0, $B112),IF(OR(IF($H111=0, 0, $B111)&lt;&gt;0,IF($H112=0, 0, $B112)=0), 0, OFFSET(IF($H112=0, 0, $B112),MATCH(1,$I112:$I1109,0) - 1,0)),"D") &gt;= 365), XIRR(OFFSET(IF($H112=0, 0, $A112),0,0, MATCH(1,$I112:$I1109,0), 1), OFFSET(IF($H112=0, 0, $B112),0,0, MATCH(1,$I112:$I1109,0), 1), 0.1), POWER((1+XIRR(OFFSET(IF($H112=0, 0, $A112),0,0, MATCH(1,$I112:$I1109,0), 1), OFFSET(IF($H112=0, 0, $B112),0,0, MATCH(1,$I112:$I1109,0), 1), 0.1)),(DATEDIF(IF($H112=0, 0, $B112),IF(OR(IF($H111=0, 0, $B111)&lt;&gt;0,IF($H112=0, 0, $B112)=0), 0, OFFSET(IF($H112=0, 0, $B112),MATCH(1,$I112:$I1109,0) - 1,0)),"D")/365))-1))</f>
        <v>0</v>
      </c>
    </row>
    <row r="113" customFormat="false" ht="13.8" hidden="false" customHeight="false" outlineLevel="0" collapsed="false">
      <c r="A113" s="30" t="n">
        <v>-2435555.75</v>
      </c>
      <c r="B113" s="8" t="n">
        <v>45382</v>
      </c>
      <c r="H113" s="17" t="n">
        <f aca="false">IF(AND(DATE($O$3,$P$3,$Q$3)&lt;=$B113, $B113&lt;=DATE($O$4,$P$4,$Q$4)), IF(AND(H114=0, $A113 &gt; 0), 0, 1), IF(AND(H114&lt;&gt;0, $A113 &gt; 0), 1, 0))</f>
        <v>0</v>
      </c>
      <c r="I113" s="17" t="n">
        <f aca="false">IF(OR($H114&lt;&gt;0,$H113=0), 0, 1)</f>
        <v>0</v>
      </c>
      <c r="J113" s="17" t="n">
        <f aca="true">IF(IF(OR(IF($H112=0, 0, $B112)&lt;&gt;0,IF($H113=0, 0, $B113)=0), 0, OFFSET(IF($H113=0, 0, $B113),MATCH(1,$I113:$I1110,0) - 1,0))=0, 0, IF((DATEDIF(IF($H113=0, 0, $B113),IF(OR(IF($H112=0, 0, $B112)&lt;&gt;0,IF($H113=0, 0, $B113)=0), 0, OFFSET(IF($H113=0, 0, $B113),MATCH(1,$I113:$I1110,0) - 1,0)),"D") &gt;= 365), XIRR(OFFSET(IF($H113=0, 0, $A113),0,0, MATCH(1,$I113:$I1110,0), 1), OFFSET(IF($H113=0, 0, $B113),0,0, MATCH(1,$I113:$I1110,0), 1), 0.1), POWER((1+XIRR(OFFSET(IF($H113=0, 0, $A113),0,0, MATCH(1,$I113:$I1110,0), 1), OFFSET(IF($H113=0, 0, $B113),0,0, MATCH(1,$I113:$I1110,0), 1), 0.1)),(DATEDIF(IF($H113=0, 0, $B113),IF(OR(IF($H112=0, 0, $B112)&lt;&gt;0,IF($H113=0, 0, $B113)=0), 0, OFFSET(IF($H113=0, 0, $B113),MATCH(1,$I113:$I1110,0) - 1,0)),"D")/365))-1))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4:O7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D29" activeCellId="0" sqref="D29"/>
    </sheetView>
  </sheetViews>
  <sheetFormatPr defaultColWidth="11.5703125" defaultRowHeight="15" zeroHeight="false" outlineLevelRow="1" outlineLevelCol="0"/>
  <cols>
    <col collapsed="false" customWidth="true" hidden="false" outlineLevel="0" max="2" min="2" style="0" width="15.71"/>
    <col collapsed="false" customWidth="true" hidden="false" outlineLevel="0" max="3" min="3" style="0" width="13"/>
    <col collapsed="false" customWidth="true" hidden="false" outlineLevel="0" max="5" min="5" style="0" width="15.71"/>
    <col collapsed="false" customWidth="true" hidden="false" outlineLevel="0" max="6" min="6" style="0" width="13"/>
    <col collapsed="false" customWidth="true" hidden="false" outlineLevel="0" max="7" min="7" style="0" width="1.57"/>
    <col collapsed="false" customWidth="true" hidden="false" outlineLevel="0" max="8" min="8" style="0" width="15.71"/>
    <col collapsed="false" customWidth="true" hidden="false" outlineLevel="0" max="9" min="9" style="0" width="13"/>
    <col collapsed="false" customWidth="true" hidden="false" outlineLevel="0" max="11" min="11" style="0" width="10.57"/>
    <col collapsed="false" customWidth="true" hidden="false" outlineLevel="0" max="12" min="12" style="0" width="10.42"/>
    <col collapsed="false" customWidth="true" hidden="false" outlineLevel="0" max="14" min="14" style="0" width="10.71"/>
    <col collapsed="false" customWidth="true" hidden="false" outlineLevel="0" max="15" min="15" style="0" width="10.42"/>
  </cols>
  <sheetData>
    <row r="4" customFormat="false" ht="15" hidden="false" customHeight="false" outlineLevel="0" collapsed="false">
      <c r="B4" s="0" t="s">
        <v>39</v>
      </c>
      <c r="E4" s="0" t="s">
        <v>39</v>
      </c>
      <c r="H4" s="0" t="s">
        <v>39</v>
      </c>
      <c r="K4" s="0" t="s">
        <v>39</v>
      </c>
    </row>
    <row r="5" customFormat="false" ht="15" hidden="false" customHeight="false" outlineLevel="0" collapsed="false">
      <c r="B5" s="0" t="s">
        <v>40</v>
      </c>
      <c r="C5" s="0" t="s">
        <v>41</v>
      </c>
      <c r="E5" s="0" t="s">
        <v>40</v>
      </c>
      <c r="F5" s="0" t="s">
        <v>42</v>
      </c>
      <c r="H5" s="0" t="s">
        <v>40</v>
      </c>
      <c r="I5" s="0" t="s">
        <v>43</v>
      </c>
      <c r="K5" s="0" t="s">
        <v>40</v>
      </c>
      <c r="L5" s="0" t="s">
        <v>44</v>
      </c>
    </row>
    <row r="6" customFormat="false" ht="16.5" hidden="false" customHeight="false" outlineLevel="0" collapsed="false">
      <c r="B6" s="15" t="s">
        <v>45</v>
      </c>
      <c r="C6" s="16"/>
      <c r="E6" s="15" t="s">
        <v>45</v>
      </c>
      <c r="F6" s="16"/>
      <c r="H6" s="15" t="s">
        <v>45</v>
      </c>
      <c r="I6" s="16"/>
      <c r="K6" s="15" t="s">
        <v>45</v>
      </c>
      <c r="L6" s="16"/>
    </row>
    <row r="7" customFormat="false" ht="16.5" hidden="false" customHeight="false" outlineLevel="0" collapsed="false">
      <c r="B7" s="15" t="n">
        <v>1000000</v>
      </c>
      <c r="C7" s="16" t="n">
        <v>44561</v>
      </c>
      <c r="E7" s="15" t="n">
        <v>1000000</v>
      </c>
      <c r="F7" s="16" t="n">
        <f aca="false">DATE(2018,12,31)</f>
        <v>43465</v>
      </c>
      <c r="H7" s="15" t="n">
        <v>1000000</v>
      </c>
      <c r="I7" s="16" t="n">
        <v>43465</v>
      </c>
      <c r="K7" s="0" t="n">
        <v>272251.44</v>
      </c>
      <c r="L7" s="8" t="n">
        <v>43465</v>
      </c>
      <c r="N7" s="0" t="n">
        <v>272251.44</v>
      </c>
      <c r="O7" s="8" t="n">
        <v>43465</v>
      </c>
    </row>
    <row r="8" customFormat="false" ht="16.5" hidden="false" customHeight="false" outlineLevel="0" collapsed="false">
      <c r="B8" s="15" t="n">
        <v>960736.72193756</v>
      </c>
      <c r="C8" s="16" t="n">
        <v>44651</v>
      </c>
      <c r="E8" s="15" t="n">
        <v>1128110.6596362</v>
      </c>
      <c r="F8" s="16" t="n">
        <f aca="false">DATE(2019,3,31)</f>
        <v>43555</v>
      </c>
      <c r="H8" s="15" t="n">
        <v>1122848.04</v>
      </c>
      <c r="I8" s="16" t="n">
        <v>43555</v>
      </c>
      <c r="K8" s="0" t="n">
        <v>282173.75</v>
      </c>
      <c r="L8" s="8" t="n">
        <v>43496</v>
      </c>
      <c r="N8" s="0" t="n">
        <v>-293517.57</v>
      </c>
      <c r="O8" s="8" t="n">
        <v>43555</v>
      </c>
    </row>
    <row r="9" customFormat="false" ht="16.5" hidden="false" customHeight="false" outlineLevel="0" collapsed="false">
      <c r="B9" s="15" t="n">
        <v>807421.87959756</v>
      </c>
      <c r="C9" s="16" t="n">
        <v>44742</v>
      </c>
      <c r="E9" s="15" t="n">
        <v>1153231.67</v>
      </c>
      <c r="F9" s="16" t="n">
        <f aca="false">DATE(2019,6,30)</f>
        <v>43646</v>
      </c>
      <c r="H9" s="15" t="n">
        <v>1151971.83</v>
      </c>
      <c r="I9" s="16" t="n">
        <v>43646</v>
      </c>
      <c r="K9" s="0" t="n">
        <v>299391.18</v>
      </c>
      <c r="L9" s="8" t="n">
        <v>43524</v>
      </c>
      <c r="N9" s="0" t="n">
        <v>293517.57</v>
      </c>
      <c r="O9" s="8" t="n">
        <v>43555</v>
      </c>
    </row>
    <row r="10" customFormat="false" ht="16.5" hidden="false" customHeight="false" outlineLevel="0" collapsed="false">
      <c r="B10" s="15" t="n">
        <v>823069.60172465</v>
      </c>
      <c r="C10" s="16" t="n">
        <v>44834</v>
      </c>
      <c r="E10" s="15" t="n">
        <v>1202260.62359174</v>
      </c>
      <c r="F10" s="16" t="n">
        <f aca="false">DATE(2019,9,30)</f>
        <v>43738</v>
      </c>
      <c r="H10" s="15" t="n">
        <v>1192472.05</v>
      </c>
      <c r="I10" s="16" t="n">
        <v>43738</v>
      </c>
      <c r="K10" s="0" t="n">
        <v>293517.57</v>
      </c>
      <c r="L10" s="8" t="n">
        <v>43553</v>
      </c>
      <c r="N10" s="0" t="n">
        <v>-298458.24</v>
      </c>
      <c r="O10" s="8" t="n">
        <v>43646</v>
      </c>
    </row>
    <row r="11" customFormat="false" ht="16.5" hidden="false" customHeight="false" outlineLevel="0" collapsed="false">
      <c r="B11" s="15" t="n">
        <v>910170.066936</v>
      </c>
      <c r="C11" s="16" t="n">
        <v>44926</v>
      </c>
      <c r="E11" s="15" t="n">
        <v>1241777.475196</v>
      </c>
      <c r="F11" s="16" t="n">
        <f aca="false">DATE(2019,12,31)</f>
        <v>43830</v>
      </c>
      <c r="H11" s="15" t="n">
        <v>1255905.93</v>
      </c>
      <c r="I11" s="16" t="n">
        <v>43830</v>
      </c>
      <c r="K11" s="0" t="n">
        <v>303149.4</v>
      </c>
      <c r="L11" s="8" t="n">
        <v>43585</v>
      </c>
      <c r="N11" s="0" t="n">
        <v>298458.24</v>
      </c>
      <c r="O11" s="8" t="n">
        <v>43646</v>
      </c>
    </row>
    <row r="12" customFormat="false" ht="16.5" hidden="false" customHeight="false" outlineLevel="0" collapsed="false">
      <c r="B12" s="15" t="n">
        <v>954666.1707545</v>
      </c>
      <c r="C12" s="16" t="n">
        <v>45016</v>
      </c>
      <c r="E12" s="15" t="n">
        <v>1068530.45750144</v>
      </c>
      <c r="F12" s="16" t="n">
        <f aca="false">DATE(2020,3,31)</f>
        <v>43921</v>
      </c>
      <c r="H12" s="15" t="n">
        <v>1070288.82962118</v>
      </c>
      <c r="I12" s="16" t="n">
        <v>43921</v>
      </c>
      <c r="K12" s="0" t="n">
        <v>284359.46</v>
      </c>
      <c r="L12" s="8" t="n">
        <v>43616</v>
      </c>
      <c r="N12" s="0" t="n">
        <v>-482183.29</v>
      </c>
      <c r="O12" s="8" t="n">
        <v>43738</v>
      </c>
    </row>
    <row r="13" customFormat="false" ht="16.5" hidden="false" customHeight="false" outlineLevel="1" collapsed="false">
      <c r="B13" s="15" t="n">
        <v>973102.3019345</v>
      </c>
      <c r="C13" s="16" t="n">
        <v>45107</v>
      </c>
      <c r="E13" s="15" t="n">
        <v>1202271.15201529</v>
      </c>
      <c r="F13" s="16" t="n">
        <f aca="false">DATE(2020,6,30)</f>
        <v>44012</v>
      </c>
      <c r="H13" s="15" t="n">
        <v>1257391.8148768</v>
      </c>
      <c r="I13" s="16" t="n">
        <v>44012</v>
      </c>
      <c r="K13" s="0" t="n">
        <v>298458.24</v>
      </c>
      <c r="L13" s="8" t="n">
        <v>43644</v>
      </c>
      <c r="N13" s="0" t="n">
        <v>482183.29</v>
      </c>
      <c r="O13" s="8" t="n">
        <v>43738</v>
      </c>
    </row>
    <row r="14" customFormat="false" ht="16.5" hidden="false" customHeight="false" outlineLevel="1" collapsed="false">
      <c r="B14" s="15" t="n">
        <v>971912.37326757</v>
      </c>
      <c r="C14" s="16" t="n">
        <v>45199</v>
      </c>
      <c r="E14" s="15" t="n">
        <v>1275309.62258847</v>
      </c>
      <c r="F14" s="16" t="n">
        <f aca="false">DATE(2020,9,30)</f>
        <v>44104</v>
      </c>
      <c r="H14" s="15" t="n">
        <v>1349411.62072268</v>
      </c>
      <c r="I14" s="16" t="n">
        <v>44104</v>
      </c>
      <c r="K14" s="0" t="n">
        <v>478180.26</v>
      </c>
      <c r="L14" s="8" t="n">
        <v>43677</v>
      </c>
      <c r="N14" s="0" t="n">
        <v>-506247.16</v>
      </c>
      <c r="O14" s="8" t="n">
        <v>43830</v>
      </c>
    </row>
    <row r="15" customFormat="false" ht="16.5" hidden="false" customHeight="false" outlineLevel="1" collapsed="false">
      <c r="B15" s="15" t="n">
        <v>1064255.936208</v>
      </c>
      <c r="C15" s="16" t="n">
        <v>45291</v>
      </c>
      <c r="E15" s="15" t="n">
        <v>1391689.64685847</v>
      </c>
      <c r="F15" s="16" t="n">
        <f aca="false">DATE(2020,12,31)</f>
        <v>44196</v>
      </c>
      <c r="H15" s="15" t="n">
        <v>1486571.89254575</v>
      </c>
      <c r="I15" s="16" t="n">
        <v>44196</v>
      </c>
      <c r="K15" s="0" t="n">
        <v>471735.48</v>
      </c>
      <c r="L15" s="8" t="n">
        <v>43707</v>
      </c>
      <c r="N15" s="0" t="n">
        <v>506247.16</v>
      </c>
      <c r="O15" s="8" t="n">
        <v>43830</v>
      </c>
    </row>
    <row r="16" customFormat="false" ht="16.5" hidden="false" customHeight="false" outlineLevel="1" collapsed="false">
      <c r="B16" s="15" t="n">
        <v>1100000</v>
      </c>
      <c r="C16" s="16" t="n">
        <v>45382</v>
      </c>
      <c r="E16" s="15" t="n">
        <v>1469797.27487</v>
      </c>
      <c r="F16" s="16" t="n">
        <f aca="false">DATE(2021,3,31)</f>
        <v>44286</v>
      </c>
      <c r="H16" s="15" t="n">
        <v>1596538.34022334</v>
      </c>
      <c r="I16" s="16" t="n">
        <v>44286</v>
      </c>
      <c r="K16" s="0" t="n">
        <v>482183.29</v>
      </c>
      <c r="L16" s="8" t="n">
        <v>43738</v>
      </c>
      <c r="N16" s="0" t="n">
        <v>-436555.35</v>
      </c>
      <c r="O16" s="8" t="n">
        <v>43921</v>
      </c>
    </row>
    <row r="17" customFormat="false" ht="16.5" hidden="false" customHeight="false" outlineLevel="1" collapsed="false">
      <c r="B17" s="0" t="s">
        <v>46</v>
      </c>
      <c r="C17" s="16"/>
      <c r="E17" s="15" t="n">
        <v>1586071.36329795</v>
      </c>
      <c r="F17" s="16" t="n">
        <f aca="false">DATE(2021,6,30)</f>
        <v>44377</v>
      </c>
      <c r="H17" s="15" t="n">
        <v>1729758.29129219</v>
      </c>
      <c r="I17" s="16" t="n">
        <v>44377</v>
      </c>
      <c r="K17" s="0" t="n">
        <v>487893.01</v>
      </c>
      <c r="L17" s="8" t="n">
        <v>43769</v>
      </c>
      <c r="N17" s="0" t="n">
        <v>436555.35</v>
      </c>
      <c r="O17" s="8" t="n">
        <v>43921</v>
      </c>
    </row>
    <row r="18" customFormat="false" ht="16.5" hidden="false" customHeight="false" outlineLevel="1" collapsed="false">
      <c r="B18" s="15"/>
      <c r="E18" s="15" t="n">
        <v>1653741.83256237</v>
      </c>
      <c r="F18" s="16" t="n">
        <f aca="false">DATE(2021,9,30)</f>
        <v>44469</v>
      </c>
      <c r="H18" s="15" t="n">
        <v>1823565.33355762</v>
      </c>
      <c r="I18" s="16" t="n">
        <v>44469</v>
      </c>
      <c r="K18" s="0" t="n">
        <v>505793.92</v>
      </c>
      <c r="L18" s="8" t="n">
        <v>43798</v>
      </c>
      <c r="N18" s="0" t="n">
        <v>-507848.12</v>
      </c>
      <c r="O18" s="8" t="n">
        <v>44012</v>
      </c>
    </row>
    <row r="19" customFormat="false" ht="16.5" hidden="false" customHeight="false" outlineLevel="1" collapsed="false">
      <c r="B19" s="15"/>
      <c r="E19" s="15" t="n">
        <v>1806808.532842</v>
      </c>
      <c r="F19" s="16" t="n">
        <f aca="false">DATE(2021,12,31)</f>
        <v>44561</v>
      </c>
      <c r="H19" s="15" t="n">
        <v>1970998.205802</v>
      </c>
      <c r="I19" s="16" t="n">
        <v>44561</v>
      </c>
      <c r="K19" s="0" t="n">
        <v>506247.16</v>
      </c>
      <c r="L19" s="8" t="n">
        <v>43830</v>
      </c>
      <c r="N19" s="0" t="n">
        <v>507848.12</v>
      </c>
      <c r="O19" s="8" t="n">
        <v>44012</v>
      </c>
    </row>
    <row r="20" customFormat="false" ht="16.5" hidden="false" customHeight="false" outlineLevel="1" collapsed="false">
      <c r="B20" s="15"/>
      <c r="E20" s="15" t="n">
        <v>1745231.99705568</v>
      </c>
      <c r="F20" s="16" t="n">
        <f aca="false">DATE(2022,3,31)</f>
        <v>44651</v>
      </c>
      <c r="H20" s="15" t="n">
        <v>1877898.72889612</v>
      </c>
      <c r="I20" s="16" t="n">
        <v>44651</v>
      </c>
      <c r="K20" s="0" t="n">
        <v>518142.61</v>
      </c>
      <c r="L20" s="8" t="n">
        <v>43861</v>
      </c>
      <c r="N20" s="0" t="n">
        <v>-543785.4</v>
      </c>
      <c r="O20" s="8" t="n">
        <v>44104</v>
      </c>
    </row>
    <row r="21" customFormat="false" ht="16.5" hidden="false" customHeight="false" outlineLevel="1" collapsed="false">
      <c r="B21" s="15"/>
      <c r="E21" s="15" t="n">
        <v>1526457.74612542</v>
      </c>
      <c r="F21" s="16" t="n">
        <f aca="false">DATE(2022,6,30)</f>
        <v>44742</v>
      </c>
      <c r="H21" s="15" t="n">
        <v>1598202.39364758</v>
      </c>
      <c r="I21" s="16" t="n">
        <v>44742</v>
      </c>
      <c r="K21" s="0" t="n">
        <v>485896.5</v>
      </c>
      <c r="L21" s="8" t="n">
        <v>43889</v>
      </c>
      <c r="N21" s="0" t="n">
        <v>543785.4</v>
      </c>
      <c r="O21" s="8" t="n">
        <v>44104</v>
      </c>
    </row>
    <row r="22" customFormat="false" ht="16.5" hidden="false" customHeight="false" outlineLevel="1" collapsed="false">
      <c r="B22" s="15"/>
      <c r="E22" s="15" t="n">
        <v>1538101.02362322</v>
      </c>
      <c r="F22" s="16" t="n">
        <f aca="false">DATE(2022,9,30)</f>
        <v>44834</v>
      </c>
      <c r="H22" s="15" t="n">
        <v>1656915.01782113</v>
      </c>
      <c r="I22" s="16" t="n">
        <v>44834</v>
      </c>
      <c r="K22" s="0" t="n">
        <v>436555.35</v>
      </c>
      <c r="L22" s="8" t="n">
        <v>43921</v>
      </c>
      <c r="N22" s="0" t="n">
        <v>-596392.77</v>
      </c>
      <c r="O22" s="8" t="n">
        <v>44196</v>
      </c>
    </row>
    <row r="23" customFormat="false" ht="16.5" hidden="false" customHeight="false" outlineLevel="1" collapsed="false">
      <c r="B23" s="15"/>
      <c r="E23" s="15" t="n">
        <v>1572346.16399166</v>
      </c>
      <c r="F23" s="16" t="n">
        <f aca="false">DATE(2022,12,31)</f>
        <v>44926</v>
      </c>
      <c r="H23" s="15" t="n">
        <v>1724799.60802293</v>
      </c>
      <c r="I23" s="16" t="n">
        <v>44926</v>
      </c>
      <c r="K23" s="0" t="n">
        <v>475876.29</v>
      </c>
      <c r="L23" s="8" t="n">
        <v>43951</v>
      </c>
      <c r="N23" s="0" t="n">
        <v>596392.77</v>
      </c>
      <c r="O23" s="8" t="n">
        <v>44196</v>
      </c>
    </row>
    <row r="24" customFormat="false" ht="16.5" hidden="false" customHeight="false" outlineLevel="1" collapsed="false">
      <c r="B24" s="15"/>
      <c r="E24" s="15" t="n">
        <v>1643682.50489854</v>
      </c>
      <c r="F24" s="16" t="n">
        <f aca="false">DATE(2023,3,31)</f>
        <v>45016</v>
      </c>
      <c r="H24" s="15" t="n">
        <v>1814329.3430901</v>
      </c>
      <c r="I24" s="16" t="n">
        <v>45016</v>
      </c>
      <c r="K24" s="0" t="n">
        <v>494251.01</v>
      </c>
      <c r="L24" s="8" t="n">
        <v>43980</v>
      </c>
      <c r="N24" s="0" t="n">
        <v>-639716.88</v>
      </c>
      <c r="O24" s="8" t="n">
        <v>44286</v>
      </c>
    </row>
    <row r="25" customFormat="false" ht="16.5" hidden="false" customHeight="false" outlineLevel="1" collapsed="false">
      <c r="E25" s="15" t="n">
        <v>1677725.18656138</v>
      </c>
      <c r="F25" s="16" t="n">
        <f aca="false">DATE(2023,6,30)</f>
        <v>45107</v>
      </c>
      <c r="G25" s="0" t="s">
        <v>36</v>
      </c>
      <c r="H25" s="15" t="n">
        <v>1878131.16155072</v>
      </c>
      <c r="I25" s="16" t="n">
        <v>45107</v>
      </c>
      <c r="K25" s="0" t="n">
        <v>507848.12</v>
      </c>
      <c r="L25" s="8" t="n">
        <v>44012</v>
      </c>
      <c r="N25" s="0" t="n">
        <v>639716.88</v>
      </c>
      <c r="O25" s="8" t="n">
        <v>44286</v>
      </c>
    </row>
    <row r="26" customFormat="false" ht="16.5" hidden="false" customHeight="false" outlineLevel="1" collapsed="false">
      <c r="E26" s="15" t="n">
        <v>1621284.88179326</v>
      </c>
      <c r="F26" s="16" t="n">
        <f aca="false">DATE(2023,9,30)</f>
        <v>45199</v>
      </c>
      <c r="H26" s="15" t="n">
        <v>1821126.41688815</v>
      </c>
      <c r="I26" s="16" t="n">
        <v>45199</v>
      </c>
      <c r="K26" s="0" t="n">
        <v>530197.81</v>
      </c>
      <c r="L26" s="8" t="n">
        <v>44043</v>
      </c>
      <c r="N26" s="0" t="n">
        <v>-690513.81</v>
      </c>
      <c r="O26" s="8" t="n">
        <v>44377</v>
      </c>
    </row>
    <row r="27" customFormat="false" ht="16.5" hidden="false" customHeight="false" outlineLevel="1" collapsed="false">
      <c r="E27" s="15" t="n">
        <v>1786989.27293728</v>
      </c>
      <c r="F27" s="16" t="n">
        <f aca="false">DATE(2023,12,31)</f>
        <v>45291</v>
      </c>
      <c r="H27" s="15" t="n">
        <v>2019865.13373583</v>
      </c>
      <c r="I27" s="16" t="n">
        <v>45291</v>
      </c>
      <c r="K27" s="0" t="n">
        <v>525234.55</v>
      </c>
      <c r="L27" s="8" t="n">
        <v>44074</v>
      </c>
      <c r="N27" s="0" t="n">
        <v>690513.81</v>
      </c>
      <c r="O27" s="8" t="n">
        <v>44377</v>
      </c>
    </row>
    <row r="28" customFormat="false" ht="16.5" hidden="false" customHeight="false" outlineLevel="1" collapsed="false">
      <c r="E28" s="15" t="n">
        <v>2000000</v>
      </c>
      <c r="F28" s="16" t="n">
        <f aca="false">DATE(2024,3,31)</f>
        <v>45382</v>
      </c>
      <c r="H28" s="29" t="n">
        <v>2100000</v>
      </c>
      <c r="I28" s="16" t="n">
        <f aca="false">DATE(2024,3,31)</f>
        <v>45382</v>
      </c>
      <c r="K28" s="0" t="n">
        <v>543785.4</v>
      </c>
      <c r="L28" s="8" t="n">
        <v>44104</v>
      </c>
      <c r="N28" s="0" t="n">
        <v>-727283.51</v>
      </c>
      <c r="O28" s="8" t="n">
        <v>44469</v>
      </c>
    </row>
    <row r="29" customFormat="false" ht="15" hidden="false" customHeight="false" outlineLevel="1" collapsed="false">
      <c r="E29" s="0" t="s">
        <v>46</v>
      </c>
      <c r="H29" s="0" t="s">
        <v>46</v>
      </c>
      <c r="K29" s="0" t="n">
        <v>531949.56</v>
      </c>
      <c r="L29" s="8" t="n">
        <v>44134</v>
      </c>
      <c r="N29" s="0" t="n">
        <v>727283.51</v>
      </c>
      <c r="O29" s="8" t="n">
        <v>44469</v>
      </c>
    </row>
    <row r="30" customFormat="false" ht="15" hidden="false" customHeight="false" outlineLevel="1" collapsed="false">
      <c r="K30" s="0" t="n">
        <v>584162.42</v>
      </c>
      <c r="L30" s="8" t="n">
        <v>44165</v>
      </c>
      <c r="N30" s="0" t="n">
        <v>-783342.92</v>
      </c>
      <c r="O30" s="8" t="n">
        <v>44561</v>
      </c>
    </row>
    <row r="31" customFormat="false" ht="15" hidden="false" customHeight="false" outlineLevel="1" collapsed="false">
      <c r="K31" s="0" t="n">
        <v>596392.77</v>
      </c>
      <c r="L31" s="8" t="n">
        <v>44196</v>
      </c>
      <c r="N31" s="0" t="n">
        <v>783342.92</v>
      </c>
      <c r="O31" s="8" t="n">
        <v>44561</v>
      </c>
    </row>
    <row r="32" customFormat="false" ht="15" hidden="false" customHeight="false" outlineLevel="1" collapsed="false">
      <c r="K32" s="0" t="n">
        <v>593254.87</v>
      </c>
      <c r="L32" s="8" t="n">
        <v>44225</v>
      </c>
      <c r="N32" s="0" t="n">
        <v>-744973.96</v>
      </c>
      <c r="O32" s="8" t="n">
        <v>44651</v>
      </c>
    </row>
    <row r="33" customFormat="false" ht="15" hidden="false" customHeight="false" outlineLevel="1" collapsed="false">
      <c r="K33" s="0" t="n">
        <v>612379.73</v>
      </c>
      <c r="L33" s="8" t="n">
        <v>44253</v>
      </c>
      <c r="N33" s="0" t="n">
        <v>744973.96</v>
      </c>
      <c r="O33" s="8" t="n">
        <v>44651</v>
      </c>
    </row>
    <row r="34" customFormat="false" ht="15" hidden="false" customHeight="false" outlineLevel="1" collapsed="false">
      <c r="K34" s="0" t="n">
        <v>639716.88</v>
      </c>
      <c r="L34" s="8" t="n">
        <v>44286</v>
      </c>
      <c r="N34" s="0" t="n">
        <v>-631404.74</v>
      </c>
      <c r="O34" s="8" t="n">
        <v>44742</v>
      </c>
    </row>
    <row r="35" customFormat="false" ht="15" hidden="false" customHeight="false" outlineLevel="1" collapsed="false">
      <c r="K35" s="0" t="n">
        <v>658649.42</v>
      </c>
      <c r="L35" s="8" t="n">
        <v>44316</v>
      </c>
      <c r="N35" s="0" t="n">
        <v>631404.74</v>
      </c>
      <c r="O35" s="8" t="n">
        <v>44742</v>
      </c>
    </row>
    <row r="36" customFormat="false" ht="15" hidden="false" customHeight="false" outlineLevel="1" collapsed="false">
      <c r="K36" s="0" t="n">
        <v>664705.69</v>
      </c>
      <c r="L36" s="8" t="n">
        <v>44347</v>
      </c>
      <c r="N36" s="0" t="n">
        <v>-649886.34</v>
      </c>
      <c r="O36" s="8" t="n">
        <v>44834</v>
      </c>
    </row>
    <row r="37" customFormat="false" ht="15" hidden="false" customHeight="false" outlineLevel="1" collapsed="false">
      <c r="K37" s="0" t="n">
        <v>690513.81</v>
      </c>
      <c r="L37" s="8" t="n">
        <v>44377</v>
      </c>
      <c r="N37" s="0" t="n">
        <v>649886.34</v>
      </c>
      <c r="O37" s="8" t="n">
        <v>44834</v>
      </c>
    </row>
    <row r="38" customFormat="false" ht="15" hidden="false" customHeight="false" outlineLevel="1" collapsed="false">
      <c r="K38" s="0" t="n">
        <v>711536.16</v>
      </c>
      <c r="L38" s="8" t="n">
        <v>44407</v>
      </c>
      <c r="N38" s="0" t="n">
        <v>-676935.56</v>
      </c>
      <c r="O38" s="8" t="n">
        <v>44926</v>
      </c>
    </row>
    <row r="39" customFormat="false" ht="15" hidden="false" customHeight="false" outlineLevel="1" collapsed="false">
      <c r="K39" s="0" t="n">
        <v>740103.03</v>
      </c>
      <c r="L39" s="8" t="n">
        <v>44439</v>
      </c>
      <c r="N39" s="0" t="n">
        <v>676935.56</v>
      </c>
      <c r="O39" s="8" t="n">
        <v>44926</v>
      </c>
    </row>
    <row r="40" customFormat="false" ht="15" hidden="false" customHeight="false" outlineLevel="1" collapsed="false">
      <c r="K40" s="0" t="n">
        <v>727283.51</v>
      </c>
      <c r="L40" s="8" t="n">
        <v>44469</v>
      </c>
      <c r="N40" s="0" t="n">
        <v>-711043.05</v>
      </c>
      <c r="O40" s="8" t="n">
        <v>45016</v>
      </c>
    </row>
    <row r="41" customFormat="false" ht="15" hidden="false" customHeight="false" outlineLevel="1" collapsed="false">
      <c r="K41" s="0" t="n">
        <v>747407.9</v>
      </c>
      <c r="L41" s="8" t="n">
        <v>44498</v>
      </c>
      <c r="N41" s="0" t="n">
        <v>711043.05</v>
      </c>
      <c r="O41" s="8" t="n">
        <v>45016</v>
      </c>
    </row>
    <row r="42" customFormat="false" ht="15" hidden="false" customHeight="false" outlineLevel="1" collapsed="false">
      <c r="K42" s="0" t="n">
        <v>756879.53</v>
      </c>
      <c r="L42" s="8" t="n">
        <v>44530</v>
      </c>
      <c r="N42" s="0" t="n">
        <v>-734810.23</v>
      </c>
      <c r="O42" s="8" t="n">
        <v>45107</v>
      </c>
    </row>
    <row r="43" customFormat="false" ht="15" hidden="false" customHeight="false" outlineLevel="1" collapsed="false">
      <c r="K43" s="0" t="n">
        <v>783342.92</v>
      </c>
      <c r="L43" s="8" t="n">
        <v>44561</v>
      </c>
      <c r="N43" s="0" t="n">
        <v>734810.23</v>
      </c>
      <c r="O43" s="8" t="n">
        <v>45107</v>
      </c>
    </row>
    <row r="44" customFormat="false" ht="15" hidden="false" customHeight="false" outlineLevel="1" collapsed="false">
      <c r="K44" s="0" t="n">
        <v>748151.24</v>
      </c>
      <c r="L44" s="8" t="n">
        <v>44592</v>
      </c>
      <c r="N44" s="0" t="n">
        <v>-710312.63</v>
      </c>
      <c r="O44" s="8" t="n">
        <v>45199</v>
      </c>
    </row>
    <row r="45" customFormat="false" ht="15" hidden="false" customHeight="false" outlineLevel="1" collapsed="false">
      <c r="K45" s="0" t="n">
        <v>733695.16</v>
      </c>
      <c r="L45" s="8" t="n">
        <v>44620</v>
      </c>
      <c r="N45" s="0" t="n">
        <v>710312.63</v>
      </c>
      <c r="O45" s="8" t="n">
        <v>45199</v>
      </c>
    </row>
    <row r="46" customFormat="false" ht="15" hidden="false" customHeight="false" outlineLevel="1" collapsed="false">
      <c r="K46" s="0" t="n">
        <v>744973.96</v>
      </c>
      <c r="L46" s="8" t="n">
        <v>44651</v>
      </c>
      <c r="N46" s="0" t="n">
        <v>-777933.37</v>
      </c>
      <c r="O46" s="8" t="n">
        <v>45291</v>
      </c>
    </row>
    <row r="47" customFormat="false" ht="15" hidden="false" customHeight="false" outlineLevel="1" collapsed="false">
      <c r="K47" s="0" t="n">
        <v>687872.8</v>
      </c>
      <c r="L47" s="8" t="n">
        <v>44680</v>
      </c>
      <c r="N47" s="0" t="n">
        <v>777933.37</v>
      </c>
      <c r="O47" s="8" t="n">
        <v>45291</v>
      </c>
    </row>
    <row r="48" customFormat="false" ht="15" hidden="false" customHeight="false" outlineLevel="0" collapsed="false">
      <c r="K48" s="0" t="n">
        <v>688319.37</v>
      </c>
      <c r="L48" s="8" t="n">
        <v>44712</v>
      </c>
      <c r="N48" s="0" t="n">
        <v>-851904.69</v>
      </c>
      <c r="O48" s="8" t="n">
        <v>45382</v>
      </c>
    </row>
    <row r="49" customFormat="false" ht="15" hidden="false" customHeight="false" outlineLevel="0" collapsed="false">
      <c r="K49" s="0" t="n">
        <v>631404.74</v>
      </c>
      <c r="L49" s="8" t="n">
        <v>44742</v>
      </c>
    </row>
    <row r="50" customFormat="false" ht="15" hidden="false" customHeight="false" outlineLevel="0" collapsed="false">
      <c r="K50" s="0" t="n">
        <v>690723.84</v>
      </c>
      <c r="L50" s="8" t="n">
        <v>44771</v>
      </c>
    </row>
    <row r="51" customFormat="false" ht="15" hidden="false" customHeight="false" outlineLevel="0" collapsed="false">
      <c r="K51" s="0" t="n">
        <v>677064.81</v>
      </c>
      <c r="L51" s="8" t="n">
        <v>44804</v>
      </c>
    </row>
    <row r="52" customFormat="false" ht="15" hidden="false" customHeight="false" outlineLevel="0" collapsed="false">
      <c r="K52" s="0" t="n">
        <v>649886.34</v>
      </c>
      <c r="L52" s="8" t="n">
        <v>44834</v>
      </c>
    </row>
    <row r="53" customFormat="false" ht="15" hidden="false" customHeight="false" outlineLevel="0" collapsed="false">
      <c r="K53" s="0" t="n">
        <v>677476.43</v>
      </c>
      <c r="L53" s="8" t="n">
        <v>44865</v>
      </c>
    </row>
    <row r="54" customFormat="false" ht="15" hidden="false" customHeight="false" outlineLevel="0" collapsed="false">
      <c r="K54" s="0" t="n">
        <v>720720.94</v>
      </c>
      <c r="L54" s="8" t="n">
        <v>44895</v>
      </c>
    </row>
    <row r="55" customFormat="false" ht="15" hidden="false" customHeight="false" outlineLevel="0" collapsed="false">
      <c r="K55" s="0" t="n">
        <v>676935.56</v>
      </c>
      <c r="L55" s="8" t="n">
        <v>44925</v>
      </c>
    </row>
    <row r="56" customFormat="false" ht="15" hidden="false" customHeight="false" outlineLevel="0" collapsed="false">
      <c r="K56" s="0" t="n">
        <v>717993.82</v>
      </c>
      <c r="L56" s="8" t="n">
        <v>44957</v>
      </c>
    </row>
    <row r="57" customFormat="false" ht="15" hidden="false" customHeight="false" outlineLevel="0" collapsed="false">
      <c r="K57" s="0" t="n">
        <v>709761.94</v>
      </c>
      <c r="L57" s="8" t="n">
        <v>44985</v>
      </c>
    </row>
    <row r="58" customFormat="false" ht="15" hidden="false" customHeight="false" outlineLevel="0" collapsed="false">
      <c r="K58" s="0" t="n">
        <v>711043.05</v>
      </c>
      <c r="L58" s="8" t="n">
        <v>45016</v>
      </c>
    </row>
    <row r="59" customFormat="false" ht="15" hidden="false" customHeight="false" outlineLevel="0" collapsed="false">
      <c r="K59" s="0" t="n">
        <v>715008.83</v>
      </c>
      <c r="L59" s="8" t="n">
        <v>45044</v>
      </c>
    </row>
    <row r="60" customFormat="false" ht="15" hidden="false" customHeight="false" outlineLevel="0" collapsed="false">
      <c r="K60" s="0" t="n">
        <v>697583.02</v>
      </c>
      <c r="L60" s="8" t="n">
        <v>45077</v>
      </c>
    </row>
    <row r="61" customFormat="false" ht="15" hidden="false" customHeight="false" outlineLevel="0" collapsed="false">
      <c r="K61" s="0" t="n">
        <v>734810.23</v>
      </c>
      <c r="L61" s="8" t="n">
        <v>45107</v>
      </c>
    </row>
    <row r="62" customFormat="false" ht="15" hidden="false" customHeight="false" outlineLevel="0" collapsed="false">
      <c r="K62" s="0" t="n">
        <v>753423.45</v>
      </c>
      <c r="L62" s="8" t="n">
        <v>45138</v>
      </c>
    </row>
    <row r="63" customFormat="false" ht="15" hidden="false" customHeight="false" outlineLevel="0" collapsed="false">
      <c r="K63" s="0" t="n">
        <v>747323.32</v>
      </c>
      <c r="L63" s="8" t="n">
        <v>45169</v>
      </c>
    </row>
    <row r="64" customFormat="false" ht="15" hidden="false" customHeight="false" outlineLevel="0" collapsed="false">
      <c r="K64" s="0" t="n">
        <v>710312.63</v>
      </c>
      <c r="L64" s="8" t="n">
        <v>45198</v>
      </c>
    </row>
    <row r="65" customFormat="false" ht="15" hidden="false" customHeight="false" outlineLevel="0" collapsed="false">
      <c r="K65" s="0" t="n">
        <v>691314.19</v>
      </c>
      <c r="L65" s="8" t="n">
        <v>45230</v>
      </c>
    </row>
    <row r="66" customFormat="false" ht="15" hidden="false" customHeight="false" outlineLevel="0" collapsed="false">
      <c r="K66" s="0" t="n">
        <v>752914.39</v>
      </c>
      <c r="L66" s="8" t="n">
        <v>45260</v>
      </c>
    </row>
    <row r="67" customFormat="false" ht="15" hidden="false" customHeight="false" outlineLevel="0" collapsed="false">
      <c r="K67" s="0" t="n">
        <v>777933.37</v>
      </c>
      <c r="L67" s="8" t="n">
        <v>45289</v>
      </c>
    </row>
    <row r="68" customFormat="false" ht="15" hidden="false" customHeight="false" outlineLevel="0" collapsed="false">
      <c r="K68" s="0" t="n">
        <v>783305.09</v>
      </c>
      <c r="L68" s="8" t="n">
        <v>45322</v>
      </c>
    </row>
    <row r="69" customFormat="false" ht="15" hidden="false" customHeight="false" outlineLevel="0" collapsed="false">
      <c r="K69" s="0" t="n">
        <v>825836.57</v>
      </c>
      <c r="L69" s="8" t="n">
        <v>45351</v>
      </c>
    </row>
    <row r="70" customFormat="false" ht="15" hidden="false" customHeight="false" outlineLevel="0" collapsed="false">
      <c r="K70" s="0" t="n">
        <v>851904.69</v>
      </c>
      <c r="L70" s="8" t="n">
        <v>45379</v>
      </c>
    </row>
    <row r="71" customFormat="false" ht="15" hidden="false" customHeight="false" outlineLevel="0" collapsed="false">
      <c r="K71" s="0" t="s">
        <v>46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G39" activeCellId="0" sqref="G39"/>
    </sheetView>
  </sheetViews>
  <sheetFormatPr defaultColWidth="8.328125" defaultRowHeight="15" zeroHeight="false" outlineLevelRow="0" outlineLevelCol="0"/>
  <cols>
    <col collapsed="false" customWidth="true" hidden="false" outlineLevel="0" max="1" min="1" style="0" width="16.71"/>
    <col collapsed="false" customWidth="true" hidden="false" outlineLevel="0" max="2" min="2" style="0" width="10.42"/>
  </cols>
  <sheetData>
    <row r="1" customFormat="false" ht="15" hidden="false" customHeight="false" outlineLevel="0" collapsed="false">
      <c r="A1" s="0" t="s">
        <v>47</v>
      </c>
      <c r="B1" s="0" t="n">
        <v>200500</v>
      </c>
      <c r="C1" s="0" t="s">
        <v>48</v>
      </c>
    </row>
    <row r="3" customFormat="false" ht="15" hidden="false" customHeight="false" outlineLevel="0" collapsed="false">
      <c r="A3" s="30" t="n">
        <v>290320.79</v>
      </c>
      <c r="B3" s="8" t="n">
        <v>43441</v>
      </c>
      <c r="C3" s="0" t="s">
        <v>27</v>
      </c>
    </row>
    <row r="4" customFormat="false" ht="15" hidden="false" customHeight="false" outlineLevel="0" collapsed="false">
      <c r="A4" s="30" t="n">
        <v>-271329.33</v>
      </c>
      <c r="B4" s="8" t="n">
        <v>43465</v>
      </c>
    </row>
    <row r="5" customFormat="false" ht="15" hidden="false" customHeight="false" outlineLevel="0" collapsed="false">
      <c r="A5" s="30" t="n">
        <v>271329.33</v>
      </c>
      <c r="B5" s="8" t="n">
        <v>43465</v>
      </c>
      <c r="E5" s="0" t="s">
        <v>30</v>
      </c>
      <c r="F5" s="9"/>
    </row>
    <row r="6" customFormat="false" ht="15" hidden="false" customHeight="false" outlineLevel="0" collapsed="false">
      <c r="A6" s="30" t="n">
        <v>-293456.91</v>
      </c>
      <c r="B6" s="8" t="n">
        <v>43555</v>
      </c>
      <c r="E6" s="0" t="s">
        <v>5</v>
      </c>
      <c r="F6" s="9" t="n">
        <v>0.0950868800537703</v>
      </c>
    </row>
    <row r="7" customFormat="false" ht="15" hidden="false" customHeight="false" outlineLevel="0" collapsed="false">
      <c r="A7" s="30" t="n">
        <v>293456.91</v>
      </c>
      <c r="B7" s="8" t="n">
        <v>43555</v>
      </c>
      <c r="E7" s="0" t="s">
        <v>6</v>
      </c>
      <c r="F7" s="9" t="n">
        <v>0.0950868800537703</v>
      </c>
    </row>
    <row r="8" customFormat="false" ht="15" hidden="false" customHeight="false" outlineLevel="0" collapsed="false">
      <c r="A8" s="30" t="n">
        <v>-298458.31</v>
      </c>
      <c r="B8" s="8" t="n">
        <v>43646</v>
      </c>
      <c r="E8" s="0" t="s">
        <v>7</v>
      </c>
      <c r="F8" s="9" t="n">
        <v>0.212244683504105</v>
      </c>
    </row>
    <row r="9" customFormat="false" ht="15" hidden="false" customHeight="false" outlineLevel="0" collapsed="false">
      <c r="A9" s="30" t="n">
        <v>298458.31</v>
      </c>
      <c r="B9" s="8" t="n">
        <v>43646</v>
      </c>
      <c r="E9" s="0" t="s">
        <v>8</v>
      </c>
      <c r="F9" s="9" t="n">
        <v>0.104488629102707</v>
      </c>
    </row>
    <row r="10" customFormat="false" ht="15" hidden="false" customHeight="false" outlineLevel="0" collapsed="false">
      <c r="A10" s="30" t="n">
        <v>183369.37</v>
      </c>
      <c r="B10" s="8" t="n">
        <v>43662</v>
      </c>
      <c r="E10" s="0" t="s">
        <v>9</v>
      </c>
      <c r="F10" s="9" t="n">
        <v>0.1286685526371</v>
      </c>
    </row>
    <row r="11" customFormat="false" ht="15" hidden="false" customHeight="false" outlineLevel="0" collapsed="false">
      <c r="A11" s="30" t="n">
        <v>-482183.29459</v>
      </c>
      <c r="B11" s="8" t="n">
        <v>43738</v>
      </c>
      <c r="E11" s="0" t="s">
        <v>11</v>
      </c>
      <c r="F11" s="9" t="n">
        <v>0.124913316965103</v>
      </c>
    </row>
    <row r="12" customFormat="false" ht="15" hidden="false" customHeight="false" outlineLevel="0" collapsed="false">
      <c r="A12" s="30" t="n">
        <v>482183.29459</v>
      </c>
      <c r="B12" s="8" t="n">
        <v>43738</v>
      </c>
    </row>
    <row r="13" customFormat="false" ht="15" hidden="false" customHeight="false" outlineLevel="0" collapsed="false">
      <c r="A13" s="30" t="n">
        <v>-506247.27</v>
      </c>
      <c r="B13" s="8" t="n">
        <v>43830</v>
      </c>
      <c r="E13" s="0" t="n">
        <v>2019</v>
      </c>
      <c r="F13" s="9" t="n">
        <v>0.146183699369431</v>
      </c>
    </row>
    <row r="14" customFormat="false" ht="15" hidden="false" customHeight="false" outlineLevel="0" collapsed="false">
      <c r="A14" s="30" t="n">
        <v>506247.27</v>
      </c>
      <c r="B14" s="8" t="n">
        <v>43830</v>
      </c>
      <c r="E14" s="0" t="n">
        <v>2020</v>
      </c>
      <c r="F14" s="9" t="n">
        <v>0.177539092302322</v>
      </c>
    </row>
    <row r="15" customFormat="false" ht="15" hidden="false" customHeight="false" outlineLevel="0" collapsed="false">
      <c r="A15" s="30" t="n">
        <v>-436555.49</v>
      </c>
      <c r="B15" s="8" t="n">
        <v>43921</v>
      </c>
      <c r="E15" s="0" t="n">
        <v>2021</v>
      </c>
      <c r="F15" s="9" t="n">
        <v>0.313468009233475</v>
      </c>
    </row>
    <row r="16" customFormat="false" ht="15" hidden="false" customHeight="false" outlineLevel="0" collapsed="false">
      <c r="A16" s="30" t="n">
        <v>436555.49</v>
      </c>
      <c r="B16" s="8" t="n">
        <v>43921</v>
      </c>
      <c r="E16" s="0" t="n">
        <v>2022</v>
      </c>
      <c r="F16" s="9" t="n">
        <v>-0.135837467387319</v>
      </c>
    </row>
    <row r="17" customFormat="false" ht="15" hidden="false" customHeight="false" outlineLevel="0" collapsed="false">
      <c r="A17" s="30" t="n">
        <v>-507848.24</v>
      </c>
      <c r="B17" s="8" t="n">
        <v>44012</v>
      </c>
      <c r="E17" s="0" t="n">
        <v>2023</v>
      </c>
      <c r="F17" s="9" t="n">
        <v>0.163989442586899</v>
      </c>
    </row>
    <row r="18" customFormat="false" ht="15" hidden="false" customHeight="false" outlineLevel="0" collapsed="false">
      <c r="A18" s="30" t="n">
        <v>507848.24</v>
      </c>
      <c r="B18" s="8" t="n">
        <v>44012</v>
      </c>
      <c r="E18" s="0" t="n">
        <v>2024</v>
      </c>
      <c r="F18" s="9" t="n">
        <v>0.0950868800537703</v>
      </c>
    </row>
    <row r="19" customFormat="false" ht="15" hidden="false" customHeight="false" outlineLevel="0" collapsed="false">
      <c r="A19" s="30" t="n">
        <v>-543785.55</v>
      </c>
      <c r="B19" s="8" t="n">
        <v>44104</v>
      </c>
    </row>
    <row r="20" customFormat="false" ht="15" hidden="false" customHeight="false" outlineLevel="0" collapsed="false">
      <c r="A20" s="30" t="n">
        <v>543785.55</v>
      </c>
      <c r="B20" s="8" t="n">
        <v>44104</v>
      </c>
    </row>
    <row r="21" customFormat="false" ht="15" hidden="false" customHeight="false" outlineLevel="0" collapsed="false">
      <c r="A21" s="30" t="n">
        <v>-596392.92</v>
      </c>
      <c r="B21" s="8" t="n">
        <v>44196</v>
      </c>
    </row>
    <row r="22" customFormat="false" ht="15" hidden="false" customHeight="false" outlineLevel="0" collapsed="false">
      <c r="A22" s="30" t="n">
        <v>596392.92</v>
      </c>
      <c r="B22" s="8" t="n">
        <v>44196</v>
      </c>
    </row>
    <row r="23" customFormat="false" ht="15" hidden="false" customHeight="false" outlineLevel="0" collapsed="false">
      <c r="A23" s="30" t="n">
        <v>-639717.01</v>
      </c>
      <c r="B23" s="8" t="n">
        <v>44286</v>
      </c>
    </row>
    <row r="24" customFormat="false" ht="15" hidden="false" customHeight="false" outlineLevel="0" collapsed="false">
      <c r="A24" s="30" t="n">
        <v>639717.01</v>
      </c>
      <c r="B24" s="8" t="n">
        <v>44286</v>
      </c>
    </row>
    <row r="25" customFormat="false" ht="15" hidden="false" customHeight="false" outlineLevel="0" collapsed="false">
      <c r="A25" s="30" t="n">
        <v>-690513.96</v>
      </c>
      <c r="B25" s="8" t="n">
        <v>44377</v>
      </c>
    </row>
    <row r="26" customFormat="false" ht="15" hidden="false" customHeight="false" outlineLevel="0" collapsed="false">
      <c r="A26" s="30" t="n">
        <v>690513.96</v>
      </c>
      <c r="B26" s="8" t="n">
        <v>44377</v>
      </c>
    </row>
    <row r="27" customFormat="false" ht="15" hidden="false" customHeight="false" outlineLevel="0" collapsed="false">
      <c r="A27" s="30" t="n">
        <v>-727343.53</v>
      </c>
      <c r="B27" s="8" t="n">
        <v>44469</v>
      </c>
    </row>
    <row r="28" customFormat="false" ht="15" hidden="false" customHeight="false" outlineLevel="0" collapsed="false">
      <c r="A28" s="30" t="n">
        <v>727343.53</v>
      </c>
      <c r="B28" s="8" t="n">
        <v>44469</v>
      </c>
    </row>
    <row r="29" customFormat="false" ht="15" hidden="false" customHeight="false" outlineLevel="0" collapsed="false">
      <c r="A29" s="30" t="n">
        <v>-783343.02</v>
      </c>
      <c r="B29" s="8" t="n">
        <v>44561</v>
      </c>
    </row>
    <row r="30" customFormat="false" ht="15" hidden="false" customHeight="false" outlineLevel="0" collapsed="false">
      <c r="A30" s="30" t="n">
        <v>783343.02</v>
      </c>
      <c r="B30" s="8" t="n">
        <v>44561</v>
      </c>
    </row>
    <row r="31" customFormat="false" ht="15" hidden="false" customHeight="false" outlineLevel="0" collapsed="false">
      <c r="A31" s="30" t="n">
        <v>-744974.09</v>
      </c>
      <c r="B31" s="8" t="n">
        <v>44651</v>
      </c>
    </row>
    <row r="32" customFormat="false" ht="15" hidden="false" customHeight="false" outlineLevel="0" collapsed="false">
      <c r="A32" s="30" t="n">
        <v>744974.09</v>
      </c>
      <c r="B32" s="8" t="n">
        <v>44651</v>
      </c>
    </row>
    <row r="33" customFormat="false" ht="15" hidden="false" customHeight="false" outlineLevel="0" collapsed="false">
      <c r="A33" s="30" t="n">
        <v>-631404.85</v>
      </c>
      <c r="B33" s="8" t="n">
        <v>44742</v>
      </c>
    </row>
    <row r="34" customFormat="false" ht="15" hidden="false" customHeight="false" outlineLevel="0" collapsed="false">
      <c r="A34" s="30" t="n">
        <v>631404.85</v>
      </c>
      <c r="B34" s="8" t="n">
        <v>44742</v>
      </c>
    </row>
    <row r="35" customFormat="false" ht="15" hidden="false" customHeight="false" outlineLevel="0" collapsed="false">
      <c r="A35" s="30" t="n">
        <v>-652723.08</v>
      </c>
      <c r="B35" s="8" t="n">
        <v>44834</v>
      </c>
    </row>
    <row r="36" customFormat="false" ht="15" hidden="false" customHeight="false" outlineLevel="0" collapsed="false">
      <c r="A36" s="30" t="n">
        <v>652723.08</v>
      </c>
      <c r="B36" s="8" t="n">
        <v>44834</v>
      </c>
    </row>
    <row r="37" customFormat="false" ht="15" hidden="false" customHeight="false" outlineLevel="0" collapsed="false">
      <c r="A37" s="30" t="n">
        <v>-676935.69</v>
      </c>
      <c r="B37" s="8" t="n">
        <v>44926</v>
      </c>
    </row>
    <row r="38" customFormat="false" ht="15" hidden="false" customHeight="false" outlineLevel="0" collapsed="false">
      <c r="A38" s="30" t="n">
        <v>676935.69</v>
      </c>
      <c r="B38" s="8" t="n">
        <v>44926</v>
      </c>
    </row>
    <row r="39" customFormat="false" ht="15" hidden="false" customHeight="false" outlineLevel="0" collapsed="false">
      <c r="A39" s="30" t="n">
        <v>-711043.17</v>
      </c>
      <c r="B39" s="8" t="n">
        <v>45016</v>
      </c>
    </row>
    <row r="40" customFormat="false" ht="15" hidden="false" customHeight="false" outlineLevel="0" collapsed="false">
      <c r="A40" s="30" t="n">
        <v>711043.17</v>
      </c>
      <c r="B40" s="8" t="n">
        <v>45016</v>
      </c>
    </row>
    <row r="41" customFormat="false" ht="15" hidden="false" customHeight="false" outlineLevel="0" collapsed="false">
      <c r="A41" s="30" t="n">
        <v>-734810.38</v>
      </c>
      <c r="B41" s="8" t="n">
        <v>45107</v>
      </c>
    </row>
    <row r="42" customFormat="false" ht="15" hidden="false" customHeight="false" outlineLevel="0" collapsed="false">
      <c r="A42" s="30" t="n">
        <v>734810.38</v>
      </c>
      <c r="B42" s="8" t="n">
        <v>45107</v>
      </c>
    </row>
    <row r="43" customFormat="false" ht="15" hidden="false" customHeight="false" outlineLevel="0" collapsed="false">
      <c r="A43" s="30" t="n">
        <v>-710312.76</v>
      </c>
      <c r="B43" s="8" t="n">
        <v>45199</v>
      </c>
    </row>
    <row r="44" customFormat="false" ht="15" hidden="false" customHeight="false" outlineLevel="0" collapsed="false">
      <c r="A44" s="30" t="n">
        <v>710312.76</v>
      </c>
      <c r="B44" s="8" t="n">
        <v>45199</v>
      </c>
    </row>
    <row r="45" customFormat="false" ht="15" hidden="false" customHeight="false" outlineLevel="0" collapsed="false">
      <c r="A45" s="30" t="n">
        <v>-10000</v>
      </c>
      <c r="B45" s="8" t="n">
        <v>45288</v>
      </c>
    </row>
    <row r="46" customFormat="false" ht="15" hidden="false" customHeight="false" outlineLevel="0" collapsed="false">
      <c r="A46" s="30" t="n">
        <v>-777933.51</v>
      </c>
      <c r="B46" s="8" t="n">
        <v>45291</v>
      </c>
    </row>
    <row r="47" customFormat="false" ht="15" hidden="false" customHeight="false" outlineLevel="0" collapsed="false">
      <c r="A47" s="30" t="n">
        <v>777933.51</v>
      </c>
      <c r="B47" s="8" t="n">
        <v>45291</v>
      </c>
    </row>
    <row r="48" customFormat="false" ht="15" hidden="false" customHeight="false" outlineLevel="0" collapsed="false">
      <c r="A48" s="30" t="n">
        <v>-851904.78</v>
      </c>
      <c r="B48" s="8" t="n">
        <v>45382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13"/>
  <sheetViews>
    <sheetView showFormulas="false" showGridLines="true" showRowColHeaders="true" showZeros="true" rightToLeft="false" tabSelected="false" showOutlineSymbols="true" defaultGridColor="true" view="normal" topLeftCell="A105" colorId="64" zoomScale="65" zoomScaleNormal="65" zoomScalePageLayoutView="100" workbookViewId="0">
      <selection pane="topLeft" activeCell="A3" activeCellId="0" sqref="A3"/>
    </sheetView>
  </sheetViews>
  <sheetFormatPr defaultColWidth="8.328125" defaultRowHeight="15" zeroHeight="false" outlineLevelRow="0" outlineLevelCol="0"/>
  <cols>
    <col collapsed="false" customWidth="true" hidden="false" outlineLevel="0" max="1" min="1" style="0" width="14.86"/>
    <col collapsed="false" customWidth="true" hidden="false" outlineLevel="0" max="2" min="2" style="0" width="10.42"/>
  </cols>
  <sheetData>
    <row r="1" customFormat="false" ht="15" hidden="false" customHeight="false" outlineLevel="0" collapsed="false">
      <c r="A1" s="0" t="s">
        <v>49</v>
      </c>
      <c r="B1" s="0" t="n">
        <v>200777</v>
      </c>
      <c r="C1" s="0" t="s">
        <v>50</v>
      </c>
    </row>
    <row r="3" customFormat="false" ht="15" hidden="false" customHeight="false" outlineLevel="0" collapsed="false">
      <c r="A3" s="30" t="n">
        <v>2151233.77</v>
      </c>
      <c r="B3" s="8" t="n">
        <v>43454</v>
      </c>
      <c r="C3" s="0" t="s">
        <v>27</v>
      </c>
    </row>
    <row r="4" customFormat="false" ht="15" hidden="false" customHeight="false" outlineLevel="0" collapsed="false">
      <c r="A4" s="30" t="n">
        <v>-2172890.75</v>
      </c>
      <c r="B4" s="8" t="n">
        <v>43465</v>
      </c>
    </row>
    <row r="5" customFormat="false" ht="15" hidden="false" customHeight="false" outlineLevel="0" collapsed="false">
      <c r="A5" s="30" t="n">
        <v>2172890.75</v>
      </c>
      <c r="B5" s="8" t="n">
        <v>43465</v>
      </c>
      <c r="E5" s="0" t="s">
        <v>30</v>
      </c>
      <c r="F5" s="9"/>
    </row>
    <row r="6" customFormat="false" ht="15" hidden="false" customHeight="false" outlineLevel="0" collapsed="false">
      <c r="A6" s="30" t="n">
        <v>608.87</v>
      </c>
      <c r="B6" s="8" t="n">
        <v>43501</v>
      </c>
      <c r="E6" s="0" t="s">
        <v>5</v>
      </c>
      <c r="F6" s="9" t="n">
        <v>0.0937696240449948</v>
      </c>
    </row>
    <row r="7" customFormat="false" ht="15" hidden="false" customHeight="false" outlineLevel="0" collapsed="false">
      <c r="A7" s="30" t="n">
        <v>2395.68</v>
      </c>
      <c r="B7" s="8" t="n">
        <v>43501</v>
      </c>
      <c r="E7" s="0" t="s">
        <v>6</v>
      </c>
      <c r="F7" s="9" t="n">
        <v>0.0937696240449948</v>
      </c>
    </row>
    <row r="8" customFormat="false" ht="15" hidden="false" customHeight="false" outlineLevel="0" collapsed="false">
      <c r="A8" s="30" t="n">
        <v>-7500</v>
      </c>
      <c r="B8" s="8" t="n">
        <v>43545</v>
      </c>
      <c r="E8" s="0" t="s">
        <v>7</v>
      </c>
      <c r="F8" s="9" t="n">
        <v>0.21402673125267</v>
      </c>
    </row>
    <row r="9" customFormat="false" ht="15" hidden="false" customHeight="false" outlineLevel="0" collapsed="false">
      <c r="A9" s="30" t="n">
        <v>-2389491.16</v>
      </c>
      <c r="B9" s="8" t="n">
        <v>43555</v>
      </c>
      <c r="E9" s="0" t="s">
        <v>8</v>
      </c>
      <c r="F9" s="9" t="n">
        <v>0.105559951066971</v>
      </c>
    </row>
    <row r="10" customFormat="false" ht="15" hidden="false" customHeight="false" outlineLevel="0" collapsed="false">
      <c r="A10" s="30" t="n">
        <v>2389490.16</v>
      </c>
      <c r="B10" s="8" t="n">
        <v>43555</v>
      </c>
      <c r="E10" s="0" t="s">
        <v>9</v>
      </c>
      <c r="F10" s="9" t="n">
        <v>0.133910185098648</v>
      </c>
    </row>
    <row r="11" customFormat="false" ht="15" hidden="false" customHeight="false" outlineLevel="0" collapsed="false">
      <c r="A11" s="30" t="n">
        <v>-7500</v>
      </c>
      <c r="B11" s="8" t="n">
        <v>43556</v>
      </c>
      <c r="E11" s="0" t="s">
        <v>11</v>
      </c>
      <c r="F11" s="9" t="n">
        <v>0.154809159040451</v>
      </c>
    </row>
    <row r="12" customFormat="false" ht="15" hidden="false" customHeight="false" outlineLevel="0" collapsed="false">
      <c r="A12" s="30" t="n">
        <v>-7500</v>
      </c>
      <c r="B12" s="8" t="n">
        <v>43586</v>
      </c>
    </row>
    <row r="13" customFormat="false" ht="15" hidden="false" customHeight="false" outlineLevel="0" collapsed="false">
      <c r="A13" s="30" t="n">
        <v>-7500</v>
      </c>
      <c r="B13" s="8" t="n">
        <v>43617</v>
      </c>
      <c r="E13" s="0" t="n">
        <v>2019</v>
      </c>
      <c r="F13" s="9" t="n">
        <v>0.20447718501091</v>
      </c>
    </row>
    <row r="14" customFormat="false" ht="15" hidden="false" customHeight="false" outlineLevel="0" collapsed="false">
      <c r="A14" s="30" t="n">
        <v>-2415234.97</v>
      </c>
      <c r="B14" s="8" t="n">
        <v>43646</v>
      </c>
      <c r="E14" s="0" t="n">
        <v>2020</v>
      </c>
      <c r="F14" s="9" t="n">
        <v>0.17313956618309</v>
      </c>
    </row>
    <row r="15" customFormat="false" ht="15" hidden="false" customHeight="false" outlineLevel="0" collapsed="false">
      <c r="A15" s="30" t="n">
        <v>2415234.97</v>
      </c>
      <c r="B15" s="8" t="n">
        <v>43646</v>
      </c>
      <c r="E15" s="0" t="n">
        <v>2021</v>
      </c>
      <c r="F15" s="9" t="n">
        <v>0.300724166631699</v>
      </c>
    </row>
    <row r="16" customFormat="false" ht="15" hidden="false" customHeight="false" outlineLevel="0" collapsed="false">
      <c r="A16" s="30" t="n">
        <v>-7500</v>
      </c>
      <c r="B16" s="8" t="n">
        <v>43647</v>
      </c>
      <c r="E16" s="0" t="n">
        <v>2022</v>
      </c>
      <c r="F16" s="9" t="n">
        <v>-0.142656266316772</v>
      </c>
    </row>
    <row r="17" customFormat="false" ht="15" hidden="false" customHeight="false" outlineLevel="0" collapsed="false">
      <c r="A17" s="30" t="n">
        <v>-7500</v>
      </c>
      <c r="B17" s="8" t="n">
        <v>43678</v>
      </c>
      <c r="E17" s="0" t="n">
        <v>2023</v>
      </c>
      <c r="F17" s="9" t="n">
        <v>0.171952611207962</v>
      </c>
    </row>
    <row r="18" customFormat="false" ht="15" hidden="false" customHeight="false" outlineLevel="0" collapsed="false">
      <c r="A18" s="30" t="n">
        <v>-150000</v>
      </c>
      <c r="B18" s="8" t="n">
        <v>43678</v>
      </c>
      <c r="E18" s="0" t="n">
        <v>2024</v>
      </c>
      <c r="F18" s="9" t="n">
        <v>0.0937696240449948</v>
      </c>
    </row>
    <row r="19" customFormat="false" ht="15" hidden="false" customHeight="false" outlineLevel="0" collapsed="false">
      <c r="A19" s="30" t="n">
        <v>-7500</v>
      </c>
      <c r="B19" s="8" t="n">
        <v>43709</v>
      </c>
    </row>
    <row r="20" customFormat="false" ht="15" hidden="false" customHeight="false" outlineLevel="0" collapsed="false">
      <c r="A20" s="30" t="n">
        <v>-2312406.51985</v>
      </c>
      <c r="B20" s="8" t="n">
        <v>43738</v>
      </c>
    </row>
    <row r="21" customFormat="false" ht="15" hidden="false" customHeight="false" outlineLevel="0" collapsed="false">
      <c r="A21" s="30" t="n">
        <v>2312406.51985</v>
      </c>
      <c r="B21" s="8" t="n">
        <v>43738</v>
      </c>
    </row>
    <row r="22" customFormat="false" ht="15" hidden="false" customHeight="false" outlineLevel="0" collapsed="false">
      <c r="A22" s="30" t="n">
        <v>-7500</v>
      </c>
      <c r="B22" s="8" t="n">
        <v>43739</v>
      </c>
    </row>
    <row r="23" customFormat="false" ht="15" hidden="false" customHeight="false" outlineLevel="0" collapsed="false">
      <c r="A23" s="30" t="n">
        <v>-7500</v>
      </c>
      <c r="B23" s="8" t="n">
        <v>43770</v>
      </c>
    </row>
    <row r="24" customFormat="false" ht="15" hidden="false" customHeight="false" outlineLevel="0" collapsed="false">
      <c r="A24" s="30" t="n">
        <v>-7500</v>
      </c>
      <c r="B24" s="8" t="n">
        <v>43798</v>
      </c>
    </row>
    <row r="25" customFormat="false" ht="15" hidden="false" customHeight="false" outlineLevel="0" collapsed="false">
      <c r="A25" s="30" t="n">
        <v>-2376988.76</v>
      </c>
      <c r="B25" s="8" t="n">
        <v>43830</v>
      </c>
    </row>
    <row r="26" customFormat="false" ht="15" hidden="false" customHeight="false" outlineLevel="0" collapsed="false">
      <c r="A26" s="30" t="n">
        <v>2376988.76</v>
      </c>
      <c r="B26" s="8" t="n">
        <v>43830</v>
      </c>
    </row>
    <row r="27" customFormat="false" ht="15" hidden="false" customHeight="false" outlineLevel="0" collapsed="false">
      <c r="A27" s="30" t="n">
        <v>-7500</v>
      </c>
      <c r="B27" s="8" t="n">
        <v>43861</v>
      </c>
    </row>
    <row r="28" customFormat="false" ht="15" hidden="false" customHeight="false" outlineLevel="0" collapsed="false">
      <c r="A28" s="30" t="n">
        <v>-7500</v>
      </c>
      <c r="B28" s="8" t="n">
        <v>43889</v>
      </c>
    </row>
    <row r="29" customFormat="false" ht="15" hidden="false" customHeight="false" outlineLevel="0" collapsed="false">
      <c r="A29" s="30" t="n">
        <v>-200000</v>
      </c>
      <c r="B29" s="8" t="n">
        <v>43894</v>
      </c>
    </row>
    <row r="30" customFormat="false" ht="15" hidden="false" customHeight="false" outlineLevel="0" collapsed="false">
      <c r="A30" s="30" t="n">
        <v>0</v>
      </c>
      <c r="B30" s="8" t="n">
        <v>43919</v>
      </c>
    </row>
    <row r="31" customFormat="false" ht="15" hidden="false" customHeight="false" outlineLevel="0" collapsed="false">
      <c r="A31" s="30" t="n">
        <v>-1894269.93</v>
      </c>
      <c r="B31" s="8" t="n">
        <v>43921</v>
      </c>
    </row>
    <row r="32" customFormat="false" ht="15" hidden="false" customHeight="false" outlineLevel="0" collapsed="false">
      <c r="A32" s="30" t="n">
        <v>1894269.93</v>
      </c>
      <c r="B32" s="8" t="n">
        <v>43921</v>
      </c>
    </row>
    <row r="33" customFormat="false" ht="15" hidden="false" customHeight="false" outlineLevel="0" collapsed="false">
      <c r="A33" s="30" t="n">
        <v>-2187003.46</v>
      </c>
      <c r="B33" s="8" t="n">
        <v>44012</v>
      </c>
    </row>
    <row r="34" customFormat="false" ht="15" hidden="false" customHeight="false" outlineLevel="0" collapsed="false">
      <c r="A34" s="30" t="n">
        <v>2187003.46</v>
      </c>
      <c r="B34" s="8" t="n">
        <v>44012</v>
      </c>
    </row>
    <row r="35" customFormat="false" ht="15" hidden="false" customHeight="false" outlineLevel="0" collapsed="false">
      <c r="A35" s="30" t="n">
        <v>-2333944.88</v>
      </c>
      <c r="B35" s="8" t="n">
        <v>44104</v>
      </c>
    </row>
    <row r="36" customFormat="false" ht="15" hidden="false" customHeight="false" outlineLevel="0" collapsed="false">
      <c r="A36" s="30" t="n">
        <v>2333944.88</v>
      </c>
      <c r="B36" s="8" t="n">
        <v>44104</v>
      </c>
    </row>
    <row r="37" customFormat="false" ht="15" hidden="false" customHeight="false" outlineLevel="0" collapsed="false">
      <c r="A37" s="30" t="n">
        <v>-2544248.43</v>
      </c>
      <c r="B37" s="8" t="n">
        <v>44196</v>
      </c>
    </row>
    <row r="38" customFormat="false" ht="15" hidden="false" customHeight="false" outlineLevel="0" collapsed="false">
      <c r="A38" s="30" t="n">
        <v>2544248.43</v>
      </c>
      <c r="B38" s="8" t="n">
        <v>44196</v>
      </c>
    </row>
    <row r="39" customFormat="false" ht="15" hidden="false" customHeight="false" outlineLevel="0" collapsed="false">
      <c r="A39" s="30" t="n">
        <v>-7000</v>
      </c>
      <c r="B39" s="8" t="n">
        <v>44227</v>
      </c>
    </row>
    <row r="40" customFormat="false" ht="15" hidden="false" customHeight="false" outlineLevel="0" collapsed="false">
      <c r="A40" s="30" t="n">
        <v>-2000</v>
      </c>
      <c r="B40" s="8" t="n">
        <v>44235</v>
      </c>
    </row>
    <row r="41" customFormat="false" ht="15" hidden="false" customHeight="false" outlineLevel="0" collapsed="false">
      <c r="A41" s="30" t="n">
        <v>-30000</v>
      </c>
      <c r="B41" s="8" t="n">
        <v>44252</v>
      </c>
    </row>
    <row r="42" customFormat="false" ht="15" hidden="false" customHeight="false" outlineLevel="0" collapsed="false">
      <c r="A42" s="30" t="n">
        <v>-7000</v>
      </c>
      <c r="B42" s="8" t="n">
        <v>44255</v>
      </c>
    </row>
    <row r="43" customFormat="false" ht="15" hidden="false" customHeight="false" outlineLevel="0" collapsed="false">
      <c r="A43" s="30" t="n">
        <v>-7000</v>
      </c>
      <c r="B43" s="8" t="n">
        <v>44285</v>
      </c>
    </row>
    <row r="44" customFormat="false" ht="15" hidden="false" customHeight="false" outlineLevel="0" collapsed="false">
      <c r="A44" s="30" t="n">
        <v>-2661665.6</v>
      </c>
      <c r="B44" s="8" t="n">
        <v>44286</v>
      </c>
    </row>
    <row r="45" customFormat="false" ht="15" hidden="false" customHeight="false" outlineLevel="0" collapsed="false">
      <c r="A45" s="30" t="n">
        <v>2661665.6</v>
      </c>
      <c r="B45" s="8" t="n">
        <v>44286</v>
      </c>
    </row>
    <row r="46" customFormat="false" ht="15" hidden="false" customHeight="false" outlineLevel="0" collapsed="false">
      <c r="A46" s="30" t="n">
        <v>-50000</v>
      </c>
      <c r="B46" s="8" t="n">
        <v>44298</v>
      </c>
    </row>
    <row r="47" customFormat="false" ht="15" hidden="false" customHeight="false" outlineLevel="0" collapsed="false">
      <c r="A47" s="30" t="n">
        <v>-7000</v>
      </c>
      <c r="B47" s="8" t="n">
        <v>44316</v>
      </c>
    </row>
    <row r="48" customFormat="false" ht="15" hidden="false" customHeight="false" outlineLevel="0" collapsed="false">
      <c r="A48" s="30" t="n">
        <v>-7000</v>
      </c>
      <c r="B48" s="8" t="n">
        <v>44347</v>
      </c>
    </row>
    <row r="49" customFormat="false" ht="15" hidden="false" customHeight="false" outlineLevel="0" collapsed="false">
      <c r="A49" s="30" t="n">
        <v>-7000</v>
      </c>
      <c r="B49" s="8" t="n">
        <v>44376</v>
      </c>
    </row>
    <row r="50" customFormat="false" ht="15" hidden="false" customHeight="false" outlineLevel="0" collapsed="false">
      <c r="A50" s="30" t="n">
        <v>-2791489.54</v>
      </c>
      <c r="B50" s="8" t="n">
        <v>44377</v>
      </c>
    </row>
    <row r="51" customFormat="false" ht="15" hidden="false" customHeight="false" outlineLevel="0" collapsed="false">
      <c r="A51" s="30" t="n">
        <v>2791489.54</v>
      </c>
      <c r="B51" s="8" t="n">
        <v>44377</v>
      </c>
    </row>
    <row r="52" customFormat="false" ht="15" hidden="false" customHeight="false" outlineLevel="0" collapsed="false">
      <c r="A52" s="30" t="n">
        <v>-7000</v>
      </c>
      <c r="B52" s="8" t="n">
        <v>44407</v>
      </c>
    </row>
    <row r="53" customFormat="false" ht="15" hidden="false" customHeight="false" outlineLevel="0" collapsed="false">
      <c r="A53" s="30" t="n">
        <v>-7000</v>
      </c>
      <c r="B53" s="8" t="n">
        <v>44438</v>
      </c>
    </row>
    <row r="54" customFormat="false" ht="15" hidden="false" customHeight="false" outlineLevel="0" collapsed="false">
      <c r="A54" s="30" t="n">
        <v>-45000</v>
      </c>
      <c r="B54" s="8" t="n">
        <v>44453</v>
      </c>
    </row>
    <row r="55" customFormat="false" ht="15" hidden="false" customHeight="false" outlineLevel="0" collapsed="false">
      <c r="A55" s="30" t="n">
        <v>-7000</v>
      </c>
      <c r="B55" s="8" t="n">
        <v>44469</v>
      </c>
    </row>
    <row r="56" customFormat="false" ht="15" hidden="false" customHeight="false" outlineLevel="0" collapsed="false">
      <c r="A56" s="30" t="n">
        <v>-2871916.67</v>
      </c>
      <c r="B56" s="8" t="n">
        <v>44469</v>
      </c>
    </row>
    <row r="57" customFormat="false" ht="15" hidden="false" customHeight="false" outlineLevel="0" collapsed="false">
      <c r="A57" s="30" t="n">
        <v>2871916.67</v>
      </c>
      <c r="B57" s="8" t="n">
        <v>44469</v>
      </c>
    </row>
    <row r="58" customFormat="false" ht="15" hidden="false" customHeight="false" outlineLevel="0" collapsed="false">
      <c r="A58" s="30" t="n">
        <v>-355000</v>
      </c>
      <c r="B58" s="8" t="n">
        <v>44477</v>
      </c>
    </row>
    <row r="59" customFormat="false" ht="15" hidden="false" customHeight="false" outlineLevel="0" collapsed="false">
      <c r="A59" s="30" t="n">
        <v>-7000</v>
      </c>
      <c r="B59" s="8" t="n">
        <v>44499</v>
      </c>
    </row>
    <row r="60" customFormat="false" ht="15" hidden="false" customHeight="false" outlineLevel="0" collapsed="false">
      <c r="A60" s="30" t="n">
        <v>-7000</v>
      </c>
      <c r="B60" s="8" t="n">
        <v>44530</v>
      </c>
    </row>
    <row r="61" customFormat="false" ht="15" hidden="false" customHeight="false" outlineLevel="0" collapsed="false">
      <c r="A61" s="30" t="n">
        <v>-7000</v>
      </c>
      <c r="B61" s="8" t="n">
        <v>44560</v>
      </c>
    </row>
    <row r="62" customFormat="false" ht="15" hidden="false" customHeight="false" outlineLevel="0" collapsed="false">
      <c r="A62" s="30" t="n">
        <v>-2688026.28</v>
      </c>
      <c r="B62" s="8" t="n">
        <v>44561</v>
      </c>
    </row>
    <row r="63" customFormat="false" ht="15" hidden="false" customHeight="false" outlineLevel="0" collapsed="false">
      <c r="A63" s="30" t="n">
        <v>2688026.28</v>
      </c>
      <c r="B63" s="8" t="n">
        <v>44561</v>
      </c>
    </row>
    <row r="64" customFormat="false" ht="15" hidden="false" customHeight="false" outlineLevel="0" collapsed="false">
      <c r="A64" s="30" t="n">
        <v>-7000</v>
      </c>
      <c r="B64" s="8" t="n">
        <v>44592</v>
      </c>
    </row>
    <row r="65" customFormat="false" ht="15" hidden="false" customHeight="false" outlineLevel="0" collapsed="false">
      <c r="A65" s="30" t="n">
        <v>-7000</v>
      </c>
      <c r="B65" s="8" t="n">
        <v>44620</v>
      </c>
    </row>
    <row r="66" customFormat="false" ht="15" hidden="false" customHeight="false" outlineLevel="0" collapsed="false">
      <c r="A66" s="30" t="n">
        <v>-7000</v>
      </c>
      <c r="B66" s="8" t="n">
        <v>44650</v>
      </c>
    </row>
    <row r="67" customFormat="false" ht="15" hidden="false" customHeight="false" outlineLevel="0" collapsed="false">
      <c r="A67" s="30" t="n">
        <v>-2530166.65</v>
      </c>
      <c r="B67" s="8" t="n">
        <v>44651</v>
      </c>
    </row>
    <row r="68" customFormat="false" ht="15" hidden="false" customHeight="false" outlineLevel="0" collapsed="false">
      <c r="A68" s="30" t="n">
        <v>2530166.65</v>
      </c>
      <c r="B68" s="8" t="n">
        <v>44651</v>
      </c>
    </row>
    <row r="69" customFormat="false" ht="15" hidden="false" customHeight="false" outlineLevel="0" collapsed="false">
      <c r="A69" s="30" t="n">
        <v>-50000</v>
      </c>
      <c r="B69" s="8" t="n">
        <v>44677</v>
      </c>
    </row>
    <row r="70" customFormat="false" ht="15" hidden="false" customHeight="false" outlineLevel="0" collapsed="false">
      <c r="A70" s="30" t="n">
        <v>-7000</v>
      </c>
      <c r="B70" s="8" t="n">
        <v>44681</v>
      </c>
    </row>
    <row r="71" customFormat="false" ht="15" hidden="false" customHeight="false" outlineLevel="0" collapsed="false">
      <c r="A71" s="30" t="n">
        <v>-7000</v>
      </c>
      <c r="B71" s="8" t="n">
        <v>44711</v>
      </c>
    </row>
    <row r="72" customFormat="false" ht="15" hidden="false" customHeight="false" outlineLevel="0" collapsed="false">
      <c r="A72" s="30" t="n">
        <v>-7000</v>
      </c>
      <c r="B72" s="8" t="n">
        <v>44742</v>
      </c>
    </row>
    <row r="73" customFormat="false" ht="15" hidden="false" customHeight="false" outlineLevel="0" collapsed="false">
      <c r="A73" s="30" t="n">
        <v>-2081693.57</v>
      </c>
      <c r="B73" s="8" t="n">
        <v>44742</v>
      </c>
    </row>
    <row r="74" customFormat="false" ht="15" hidden="false" customHeight="false" outlineLevel="0" collapsed="false">
      <c r="A74" s="30" t="n">
        <v>2081693.57</v>
      </c>
      <c r="B74" s="8" t="n">
        <v>44742</v>
      </c>
    </row>
    <row r="75" customFormat="false" ht="15" hidden="false" customHeight="false" outlineLevel="0" collapsed="false">
      <c r="A75" s="30" t="n">
        <v>-7000</v>
      </c>
      <c r="B75" s="8" t="n">
        <v>44772</v>
      </c>
    </row>
    <row r="76" customFormat="false" ht="15" hidden="false" customHeight="false" outlineLevel="0" collapsed="false">
      <c r="A76" s="30" t="n">
        <v>-7000</v>
      </c>
      <c r="B76" s="8" t="n">
        <v>44803</v>
      </c>
    </row>
    <row r="77" customFormat="false" ht="15" hidden="false" customHeight="false" outlineLevel="0" collapsed="false">
      <c r="A77" s="30" t="n">
        <v>-7000</v>
      </c>
      <c r="B77" s="8" t="n">
        <v>44833</v>
      </c>
    </row>
    <row r="78" customFormat="false" ht="15" hidden="false" customHeight="false" outlineLevel="0" collapsed="false">
      <c r="A78" s="30" t="n">
        <v>-2130075.65</v>
      </c>
      <c r="B78" s="8" t="n">
        <v>44834</v>
      </c>
    </row>
    <row r="79" customFormat="false" ht="15" hidden="false" customHeight="false" outlineLevel="0" collapsed="false">
      <c r="A79" s="30" t="n">
        <v>2130075.65</v>
      </c>
      <c r="B79" s="8" t="n">
        <v>44834</v>
      </c>
    </row>
    <row r="80" customFormat="false" ht="15" hidden="false" customHeight="false" outlineLevel="0" collapsed="false">
      <c r="A80" s="30" t="n">
        <v>-25000</v>
      </c>
      <c r="B80" s="8" t="n">
        <v>44859</v>
      </c>
    </row>
    <row r="81" customFormat="false" ht="15" hidden="false" customHeight="false" outlineLevel="0" collapsed="false">
      <c r="A81" s="30" t="n">
        <v>-7000</v>
      </c>
      <c r="B81" s="8" t="n">
        <v>44864</v>
      </c>
    </row>
    <row r="82" customFormat="false" ht="15" hidden="false" customHeight="false" outlineLevel="0" collapsed="false">
      <c r="A82" s="30" t="n">
        <v>-7000</v>
      </c>
      <c r="B82" s="8" t="n">
        <v>44895</v>
      </c>
    </row>
    <row r="83" customFormat="false" ht="15" hidden="false" customHeight="false" outlineLevel="0" collapsed="false">
      <c r="A83" s="30" t="n">
        <v>-7000</v>
      </c>
      <c r="B83" s="8" t="n">
        <v>44924</v>
      </c>
    </row>
    <row r="84" customFormat="false" ht="15" hidden="false" customHeight="false" outlineLevel="0" collapsed="false">
      <c r="A84" s="30" t="n">
        <v>-2156935.87</v>
      </c>
      <c r="B84" s="8" t="n">
        <v>44926</v>
      </c>
    </row>
    <row r="85" customFormat="false" ht="15" hidden="false" customHeight="false" outlineLevel="0" collapsed="false">
      <c r="A85" s="30" t="n">
        <v>2156935.87</v>
      </c>
      <c r="B85" s="8" t="n">
        <v>44926</v>
      </c>
    </row>
    <row r="86" customFormat="false" ht="15" hidden="false" customHeight="false" outlineLevel="0" collapsed="false">
      <c r="A86" s="30" t="n">
        <v>-9000</v>
      </c>
      <c r="B86" s="8" t="n">
        <v>44956</v>
      </c>
    </row>
    <row r="87" customFormat="false" ht="15" hidden="false" customHeight="false" outlineLevel="0" collapsed="false">
      <c r="A87" s="30" t="n">
        <v>-9000</v>
      </c>
      <c r="B87" s="8" t="n">
        <v>44985</v>
      </c>
    </row>
    <row r="88" customFormat="false" ht="15" hidden="false" customHeight="false" outlineLevel="0" collapsed="false">
      <c r="A88" s="30" t="n">
        <v>-21500</v>
      </c>
      <c r="B88" s="8" t="n">
        <v>44995</v>
      </c>
    </row>
    <row r="89" customFormat="false" ht="15" hidden="false" customHeight="false" outlineLevel="0" collapsed="false">
      <c r="A89" s="30" t="n">
        <v>-9000</v>
      </c>
      <c r="B89" s="8" t="n">
        <v>45015</v>
      </c>
    </row>
    <row r="90" customFormat="false" ht="15" hidden="false" customHeight="false" outlineLevel="0" collapsed="false">
      <c r="A90" s="30" t="n">
        <v>-2222477.77</v>
      </c>
      <c r="B90" s="8" t="n">
        <v>45016</v>
      </c>
    </row>
    <row r="91" customFormat="false" ht="15" hidden="false" customHeight="false" outlineLevel="0" collapsed="false">
      <c r="A91" s="30" t="n">
        <v>2222477.77</v>
      </c>
      <c r="B91" s="8" t="n">
        <v>45016</v>
      </c>
    </row>
    <row r="92" customFormat="false" ht="15" hidden="false" customHeight="false" outlineLevel="0" collapsed="false">
      <c r="A92" s="30" t="n">
        <v>-9000</v>
      </c>
      <c r="B92" s="8" t="n">
        <v>45046</v>
      </c>
    </row>
    <row r="93" customFormat="false" ht="15" hidden="false" customHeight="false" outlineLevel="0" collapsed="false">
      <c r="A93" s="30" t="n">
        <v>-9000</v>
      </c>
      <c r="B93" s="8" t="n">
        <v>45076</v>
      </c>
    </row>
    <row r="94" customFormat="false" ht="15" hidden="false" customHeight="false" outlineLevel="0" collapsed="false">
      <c r="A94" s="30" t="n">
        <v>-9000</v>
      </c>
      <c r="B94" s="8" t="n">
        <v>45107</v>
      </c>
    </row>
    <row r="95" customFormat="false" ht="15" hidden="false" customHeight="false" outlineLevel="0" collapsed="false">
      <c r="A95" s="30" t="n">
        <v>-2275983.49</v>
      </c>
      <c r="B95" s="8" t="n">
        <v>45107</v>
      </c>
    </row>
    <row r="96" customFormat="false" ht="15" hidden="false" customHeight="false" outlineLevel="0" collapsed="false">
      <c r="A96" s="30" t="n">
        <v>2275983.49</v>
      </c>
      <c r="B96" s="8" t="n">
        <v>45107</v>
      </c>
    </row>
    <row r="97" customFormat="false" ht="15" hidden="false" customHeight="false" outlineLevel="0" collapsed="false">
      <c r="A97" s="30" t="n">
        <v>-30000</v>
      </c>
      <c r="B97" s="8" t="n">
        <v>45128</v>
      </c>
    </row>
    <row r="98" customFormat="false" ht="15" hidden="false" customHeight="false" outlineLevel="0" collapsed="false">
      <c r="A98" s="30" t="n">
        <v>-9000</v>
      </c>
      <c r="B98" s="8" t="n">
        <v>45137</v>
      </c>
    </row>
    <row r="99" customFormat="false" ht="15" hidden="false" customHeight="false" outlineLevel="0" collapsed="false">
      <c r="A99" s="30" t="n">
        <v>-9000</v>
      </c>
      <c r="B99" s="8" t="n">
        <v>45168</v>
      </c>
    </row>
    <row r="100" customFormat="false" ht="15" hidden="false" customHeight="false" outlineLevel="0" collapsed="false">
      <c r="A100" s="30" t="n">
        <v>-8500</v>
      </c>
      <c r="B100" s="8" t="n">
        <v>45199</v>
      </c>
    </row>
    <row r="101" customFormat="false" ht="15" hidden="false" customHeight="false" outlineLevel="0" collapsed="false">
      <c r="A101" s="30" t="n">
        <v>-2145848.26</v>
      </c>
      <c r="B101" s="8" t="n">
        <v>45199</v>
      </c>
    </row>
    <row r="102" customFormat="false" ht="15" hidden="false" customHeight="false" outlineLevel="0" collapsed="false">
      <c r="A102" s="30" t="n">
        <v>2145848.26</v>
      </c>
      <c r="B102" s="8" t="n">
        <v>45199</v>
      </c>
    </row>
    <row r="103" customFormat="false" ht="15" hidden="false" customHeight="false" outlineLevel="0" collapsed="false">
      <c r="A103" s="30" t="n">
        <v>-8500</v>
      </c>
      <c r="B103" s="8" t="n">
        <v>45229</v>
      </c>
    </row>
    <row r="104" customFormat="false" ht="15" hidden="false" customHeight="false" outlineLevel="0" collapsed="false">
      <c r="A104" s="30" t="n">
        <v>-8500</v>
      </c>
      <c r="B104" s="8" t="n">
        <v>45260</v>
      </c>
    </row>
    <row r="105" customFormat="false" ht="15" hidden="false" customHeight="false" outlineLevel="0" collapsed="false">
      <c r="A105" s="30" t="n">
        <v>-8500</v>
      </c>
      <c r="B105" s="8" t="n">
        <v>45290</v>
      </c>
    </row>
    <row r="106" customFormat="false" ht="15" hidden="false" customHeight="false" outlineLevel="0" collapsed="false">
      <c r="A106" s="30" t="n">
        <v>-2356874.45</v>
      </c>
      <c r="B106" s="8" t="n">
        <v>45291</v>
      </c>
    </row>
    <row r="107" customFormat="false" ht="15" hidden="false" customHeight="false" outlineLevel="0" collapsed="false">
      <c r="A107" s="30" t="n">
        <v>2356874.45</v>
      </c>
      <c r="B107" s="8" t="n">
        <v>45291</v>
      </c>
    </row>
    <row r="108" customFormat="false" ht="15" hidden="false" customHeight="false" outlineLevel="0" collapsed="false">
      <c r="A108" s="30" t="n">
        <v>-8500</v>
      </c>
      <c r="B108" s="8" t="n">
        <v>45321</v>
      </c>
    </row>
    <row r="109" customFormat="false" ht="15" hidden="false" customHeight="false" outlineLevel="0" collapsed="false">
      <c r="A109" s="30" t="n">
        <v>-34000</v>
      </c>
      <c r="B109" s="8" t="n">
        <v>45337</v>
      </c>
    </row>
    <row r="110" customFormat="false" ht="15" hidden="false" customHeight="false" outlineLevel="0" collapsed="false">
      <c r="A110" s="30" t="n">
        <v>-8500</v>
      </c>
      <c r="B110" s="8" t="n">
        <v>45350</v>
      </c>
    </row>
    <row r="111" customFormat="false" ht="15" hidden="false" customHeight="false" outlineLevel="0" collapsed="false">
      <c r="A111" s="30" t="n">
        <v>-80000</v>
      </c>
      <c r="B111" s="8" t="n">
        <v>45376</v>
      </c>
    </row>
    <row r="112" customFormat="false" ht="15" hidden="false" customHeight="false" outlineLevel="0" collapsed="false">
      <c r="A112" s="30" t="n">
        <v>-8500</v>
      </c>
      <c r="B112" s="8" t="n">
        <v>45381</v>
      </c>
    </row>
    <row r="113" customFormat="false" ht="15" hidden="false" customHeight="false" outlineLevel="0" collapsed="false">
      <c r="A113" s="30" t="n">
        <v>-2435555.75</v>
      </c>
      <c r="B113" s="8" t="n">
        <v>45382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354</TotalTime>
  <Application>LibreOffice/7.4.2.3$MacOSX_X86_64 LibreOffice_project/382eef1f22670f7f4118c8c2dd222ec7ad009daf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2022-05-29T05:59:02Z</dcterms:created>
  <dc:creator>Alex</dc:creator>
  <dc:description/>
  <dc:language>en-CA</dc:language>
  <cp:lastModifiedBy/>
  <cp:lastPrinted>2023-10-04T16:37:37Z</cp:lastPrinted>
  <dcterms:modified xsi:type="dcterms:W3CDTF">2024-04-26T15:26:57Z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ComplianceAssetId">
    <vt:lpwstr/>
  </property>
  <property fmtid="{D5CDD505-2E9C-101B-9397-08002B2CF9AE}" pid="4" name="ContentTypeId">
    <vt:lpwstr>0x010100267FFD08DB52BB448DF99E934E9746A4</vt:lpwstr>
  </property>
  <property fmtid="{D5CDD505-2E9C-101B-9397-08002B2CF9AE}" pid="5" name="MediaServiceImageTags">
    <vt:lpwstr/>
  </property>
  <property fmtid="{D5CDD505-2E9C-101B-9397-08002B2CF9AE}" pid="6" name="TemplateUrl">
    <vt:lpwstr/>
  </property>
  <property fmtid="{D5CDD505-2E9C-101B-9397-08002B2CF9AE}" pid="7" name="TriggerFlowInfo">
    <vt:lpwstr/>
  </property>
  <property fmtid="{D5CDD505-2E9C-101B-9397-08002B2CF9AE}" pid="8" name="_ExtendedDescription">
    <vt:lpwstr/>
  </property>
  <property fmtid="{D5CDD505-2E9C-101B-9397-08002B2CF9AE}" pid="9" name="xd_ProgID">
    <vt:lpwstr/>
  </property>
  <property fmtid="{D5CDD505-2E9C-101B-9397-08002B2CF9AE}" pid="10" name="xd_Signature">
    <vt:bool>0</vt:bool>
  </property>
</Properties>
</file>